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232b3ce667643063/Desktop/"/>
    </mc:Choice>
  </mc:AlternateContent>
  <xr:revisionPtr revIDLastSave="36" documentId="13_ncr:1_{C800DD43-B52A-45A4-9C37-FC6433D33D7A}" xr6:coauthVersionLast="47" xr6:coauthVersionMax="47" xr10:uidLastSave="{2AE8ADC2-9141-4141-B2C6-AE7D1B7FD2A5}"/>
  <bookViews>
    <workbookView minimized="1" xWindow="5760" yWindow="3360" windowWidth="17280" windowHeight="8880" tabRatio="500" activeTab="4" xr2:uid="{00000000-000D-0000-FFFF-FFFF00000000}"/>
  </bookViews>
  <sheets>
    <sheet name="Sales Data" sheetId="1" r:id="rId1"/>
    <sheet name="Cleaned Data" sheetId="3" r:id="rId2"/>
    <sheet name="Sales  Calculation" sheetId="2" r:id="rId3"/>
    <sheet name="Pivot Table " sheetId="11" r:id="rId4"/>
    <sheet name="Dashboard" sheetId="16" r:id="rId5"/>
  </sheets>
  <definedNames>
    <definedName name="_xlnm._FilterDatabase" localSheetId="1" hidden="1">'Cleaned Data'!$A$1:$Q$1</definedName>
    <definedName name="_xlnm._FilterDatabase" localSheetId="0" hidden="1">'Sales Data'!$A$1:$Q$1</definedName>
    <definedName name="Slicer_Customer_Type">#N/A</definedName>
    <definedName name="Slicer_Month">#N/A</definedName>
    <definedName name="Slicer_Product_Category">#N/A</definedName>
    <definedName name="Slicer_Region">#N/A</definedName>
    <definedName name="Slicer_Sales_Channel">#N/A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 l="1"/>
  <c r="B13" i="2"/>
  <c r="B12" i="2"/>
  <c r="B11" i="2"/>
  <c r="B10" i="2"/>
  <c r="B9" i="2"/>
  <c r="B8" i="2"/>
  <c r="B7" i="2"/>
  <c r="B6" i="2"/>
  <c r="B5" i="2"/>
  <c r="B4" i="2"/>
</calcChain>
</file>

<file path=xl/sharedStrings.xml><?xml version="1.0" encoding="utf-8"?>
<sst xmlns="http://schemas.openxmlformats.org/spreadsheetml/2006/main" count="2261" uniqueCount="224">
  <si>
    <t>Date</t>
  </si>
  <si>
    <t>Month</t>
  </si>
  <si>
    <t>Region</t>
  </si>
  <si>
    <t>State/City</t>
  </si>
  <si>
    <t>Sales Executive Name</t>
  </si>
  <si>
    <t>Product Category</t>
  </si>
  <si>
    <t>Product Name</t>
  </si>
  <si>
    <t>Units Sold</t>
  </si>
  <si>
    <t>Selling Price (₹)</t>
  </si>
  <si>
    <t>Revenue (₹)</t>
  </si>
  <si>
    <t>Cost (₹)</t>
  </si>
  <si>
    <t>Profit (₹)</t>
  </si>
  <si>
    <t>Customer Type</t>
  </si>
  <si>
    <t>Sales Channel</t>
  </si>
  <si>
    <t>Target Sales (₹)</t>
  </si>
  <si>
    <t>Achievement %</t>
  </si>
  <si>
    <t>Growth %</t>
  </si>
  <si>
    <t>01-Apr-2024</t>
  </si>
  <si>
    <t>April</t>
  </si>
  <si>
    <t>East</t>
  </si>
  <si>
    <t>Kolkata</t>
  </si>
  <si>
    <t>Aditya Kumar</t>
  </si>
  <si>
    <t>Apparel</t>
  </si>
  <si>
    <t>Sports Shoes</t>
  </si>
  <si>
    <t>Existing</t>
  </si>
  <si>
    <t>Online</t>
  </si>
  <si>
    <t>01-Dec-2024</t>
  </si>
  <si>
    <t>December</t>
  </si>
  <si>
    <t>Ranchi</t>
  </si>
  <si>
    <t>Karan Singh</t>
  </si>
  <si>
    <t>Appliances</t>
  </si>
  <si>
    <t>Mixer</t>
  </si>
  <si>
    <t>01-Jun-2024</t>
  </si>
  <si>
    <t>June</t>
  </si>
  <si>
    <t>West</t>
  </si>
  <si>
    <t>Mumbai</t>
  </si>
  <si>
    <t>Vikram Rao</t>
  </si>
  <si>
    <t>Furniture</t>
  </si>
  <si>
    <t>Sofa</t>
  </si>
  <si>
    <t>New</t>
  </si>
  <si>
    <t>Offline</t>
  </si>
  <si>
    <t>01-May-2024</t>
  </si>
  <si>
    <t>May</t>
  </si>
  <si>
    <t>North</t>
  </si>
  <si>
    <t>Lucknow</t>
  </si>
  <si>
    <t>Sanjay Gupta</t>
  </si>
  <si>
    <t>Standing Desk</t>
  </si>
  <si>
    <t>01-Nov-2024</t>
  </si>
  <si>
    <t>November</t>
  </si>
  <si>
    <t>South</t>
  </si>
  <si>
    <t>Coimbatore</t>
  </si>
  <si>
    <t>Arjun Mehta</t>
  </si>
  <si>
    <t>Grocery</t>
  </si>
  <si>
    <t>Cooking Oil</t>
  </si>
  <si>
    <t>Sneha Patel</t>
  </si>
  <si>
    <t>Organic Tea</t>
  </si>
  <si>
    <t>02-May-2024</t>
  </si>
  <si>
    <t>Amritsar</t>
  </si>
  <si>
    <t>Electronics</t>
  </si>
  <si>
    <t>Smartwatch</t>
  </si>
  <si>
    <t>02-Nov-2024</t>
  </si>
  <si>
    <t>Ahmedabad</t>
  </si>
  <si>
    <t>Air Conditioner</t>
  </si>
  <si>
    <t>02-Sep-2024</t>
  </si>
  <si>
    <t>September</t>
  </si>
  <si>
    <t>Jaipur</t>
  </si>
  <si>
    <t>Meera Joshi</t>
  </si>
  <si>
    <t>Washing Machine</t>
  </si>
  <si>
    <t>03-Aug-2024</t>
  </si>
  <si>
    <t>August</t>
  </si>
  <si>
    <t>Bangalore</t>
  </si>
  <si>
    <t>Anjali Nair</t>
  </si>
  <si>
    <t>Jacket</t>
  </si>
  <si>
    <t>03-Jul-2024</t>
  </si>
  <si>
    <t>July</t>
  </si>
  <si>
    <t>Chennai</t>
  </si>
  <si>
    <t>03-May-2024</t>
  </si>
  <si>
    <t>Kochi</t>
  </si>
  <si>
    <t>Bookshelf</t>
  </si>
  <si>
    <t>03-Oct-2024</t>
  </si>
  <si>
    <t>October</t>
  </si>
  <si>
    <t>Guwahati</t>
  </si>
  <si>
    <t>Basmati Rice</t>
  </si>
  <si>
    <t>04-Aug-2024</t>
  </si>
  <si>
    <t>Wardrobe</t>
  </si>
  <si>
    <t>05-Jul-2024</t>
  </si>
  <si>
    <t>Denim Jeans</t>
  </si>
  <si>
    <t>05-May-2024</t>
  </si>
  <si>
    <t>05-Oct-2024</t>
  </si>
  <si>
    <t>Tablet</t>
  </si>
  <si>
    <t>06-Aug-2024</t>
  </si>
  <si>
    <t>Formal Shirt</t>
  </si>
  <si>
    <t>06-Dec-2024</t>
  </si>
  <si>
    <t>Saree</t>
  </si>
  <si>
    <t>06-Feb-2024</t>
  </si>
  <si>
    <t>February</t>
  </si>
  <si>
    <t>Priya Sharma</t>
  </si>
  <si>
    <t>Office Chair</t>
  </si>
  <si>
    <t>06-May-2024</t>
  </si>
  <si>
    <t>Rohan Verma</t>
  </si>
  <si>
    <t>Refrigerator</t>
  </si>
  <si>
    <t>07-Apr-2024</t>
  </si>
  <si>
    <t>Hyderabad</t>
  </si>
  <si>
    <t>07-Feb-2024</t>
  </si>
  <si>
    <t>07-Jun-2024</t>
  </si>
  <si>
    <t>07-Mar-2024</t>
  </si>
  <si>
    <t>March</t>
  </si>
  <si>
    <t>Patna</t>
  </si>
  <si>
    <t>07-Nov-2024</t>
  </si>
  <si>
    <t>07-Sep-2024</t>
  </si>
  <si>
    <t>08-Dec-2024</t>
  </si>
  <si>
    <t>Surat</t>
  </si>
  <si>
    <t>08-Jan-2024</t>
  </si>
  <si>
    <t>January</t>
  </si>
  <si>
    <t>Smartphone</t>
  </si>
  <si>
    <t>08-Sep-2024</t>
  </si>
  <si>
    <t>Headphones</t>
  </si>
  <si>
    <t>09-Dec-2024</t>
  </si>
  <si>
    <t>09-Jul-2024</t>
  </si>
  <si>
    <t>09-Jun-2024</t>
  </si>
  <si>
    <t>09-Sep-2024</t>
  </si>
  <si>
    <t>10-Feb-2024</t>
  </si>
  <si>
    <t>10-Jun-2024</t>
  </si>
  <si>
    <t>10-Mar-2024</t>
  </si>
  <si>
    <t>10-Oct-2024</t>
  </si>
  <si>
    <t>Deepa Iyer</t>
  </si>
  <si>
    <t>11-Aug-2024</t>
  </si>
  <si>
    <t>11-Feb-2024</t>
  </si>
  <si>
    <t>11-Nov-2024</t>
  </si>
  <si>
    <t>11-Oct-2024</t>
  </si>
  <si>
    <t>Chandigarh</t>
  </si>
  <si>
    <t>12-Nov-2024</t>
  </si>
  <si>
    <t>Mixed Spices</t>
  </si>
  <si>
    <t>12-Oct-2024</t>
  </si>
  <si>
    <t>Pooja Reddy</t>
  </si>
  <si>
    <t>12-Sep-2024</t>
  </si>
  <si>
    <t>13-Feb-2024</t>
  </si>
  <si>
    <t>13-Nov-2024</t>
  </si>
  <si>
    <t>14-Aug-2024</t>
  </si>
  <si>
    <t>Nagpur</t>
  </si>
  <si>
    <t>Microwave</t>
  </si>
  <si>
    <t>14-Jan-2024</t>
  </si>
  <si>
    <t>14-Jun-2024</t>
  </si>
  <si>
    <t>14-Sep-2024</t>
  </si>
  <si>
    <t>Pune</t>
  </si>
  <si>
    <t>15-Jun-2024</t>
  </si>
  <si>
    <t>16-Dec-2024</t>
  </si>
  <si>
    <t>16-Feb-2024</t>
  </si>
  <si>
    <t>16-Jul-2024</t>
  </si>
  <si>
    <t>16-Mar-2024</t>
  </si>
  <si>
    <t>Delhi</t>
  </si>
  <si>
    <t>16-May-2024</t>
  </si>
  <si>
    <t>17-Jun-2024</t>
  </si>
  <si>
    <t>17-Mar-2024</t>
  </si>
  <si>
    <t>18-Apr-2024</t>
  </si>
  <si>
    <t>18-Jun-2024</t>
  </si>
  <si>
    <t>19-Dec-2024</t>
  </si>
  <si>
    <t>19-Mar-2024</t>
  </si>
  <si>
    <t>19-Sep-2024</t>
  </si>
  <si>
    <t>20-Aug-2024</t>
  </si>
  <si>
    <t>20-Feb-2024</t>
  </si>
  <si>
    <t>Dry Fruits</t>
  </si>
  <si>
    <t>20-May-2024</t>
  </si>
  <si>
    <t>21-Apr-2024</t>
  </si>
  <si>
    <t>21-Feb-2024</t>
  </si>
  <si>
    <t>21-Jan-2024</t>
  </si>
  <si>
    <t>21-Jul-2024</t>
  </si>
  <si>
    <t>21-Nov-2024</t>
  </si>
  <si>
    <t>22-Apr-2024</t>
  </si>
  <si>
    <t>22-Jul-2024</t>
  </si>
  <si>
    <t>22-Nov-2024</t>
  </si>
  <si>
    <t>22-Sep-2024</t>
  </si>
  <si>
    <t>23-Apr-2024</t>
  </si>
  <si>
    <t>23-Dec-2024</t>
  </si>
  <si>
    <t>23-Jan-2024</t>
  </si>
  <si>
    <t>23-Oct-2024</t>
  </si>
  <si>
    <t>24-Aug-2024</t>
  </si>
  <si>
    <t>24-Dec-2024</t>
  </si>
  <si>
    <t>Bhubaneswar</t>
  </si>
  <si>
    <t>Laptop</t>
  </si>
  <si>
    <t>24-Feb-2024</t>
  </si>
  <si>
    <t>24-Jul-2024</t>
  </si>
  <si>
    <t>24-Mar-2024</t>
  </si>
  <si>
    <t>25-Feb-2024</t>
  </si>
  <si>
    <t>25-Mar-2024</t>
  </si>
  <si>
    <t>26-Apr-2024</t>
  </si>
  <si>
    <t>26-Aug-2024</t>
  </si>
  <si>
    <t>26-May-2024</t>
  </si>
  <si>
    <t>26-Nov-2024</t>
  </si>
  <si>
    <t>27-Dec-2024</t>
  </si>
  <si>
    <t>27-Jan-2024</t>
  </si>
  <si>
    <t>27-May-2024</t>
  </si>
  <si>
    <t>28-Apr-2024</t>
  </si>
  <si>
    <t>28-Feb-2024</t>
  </si>
  <si>
    <t>28-Oct-2024</t>
  </si>
  <si>
    <t>28-Sep-2024</t>
  </si>
  <si>
    <t>29-Apr-2024</t>
  </si>
  <si>
    <t>29-Jan-2024</t>
  </si>
  <si>
    <t>29-Jun-2024</t>
  </si>
  <si>
    <t>29-Nov-2024</t>
  </si>
  <si>
    <t>30-Mar-2024</t>
  </si>
  <si>
    <t>30-Oct-2024</t>
  </si>
  <si>
    <t>30-Sep-2024</t>
  </si>
  <si>
    <t>📊 Sales Performance Summary</t>
  </si>
  <si>
    <t>Total Revenue (₹)</t>
  </si>
  <si>
    <t>Total Cost (₹)</t>
  </si>
  <si>
    <t>Total Profit (₹)</t>
  </si>
  <si>
    <t>Total Units Sold</t>
  </si>
  <si>
    <t>Average Achievement %</t>
  </si>
  <si>
    <t>Average Growth %</t>
  </si>
  <si>
    <t>Total Transactions</t>
  </si>
  <si>
    <t>New Customers</t>
  </si>
  <si>
    <t>Existing Customers</t>
  </si>
  <si>
    <t>Online Sales</t>
  </si>
  <si>
    <t>Offline Sales</t>
  </si>
  <si>
    <t>Row Labels</t>
  </si>
  <si>
    <t>Grand Total</t>
  </si>
  <si>
    <t>Sum of Revenue (₹)</t>
  </si>
  <si>
    <t>Sum of Target Sales (₹)</t>
  </si>
  <si>
    <t xml:space="preserve">Revenue By Region </t>
  </si>
  <si>
    <t xml:space="preserve">Sales By Executive </t>
  </si>
  <si>
    <t>Revenue By Product Category</t>
  </si>
  <si>
    <t xml:space="preserve">Channel-Wise Performance </t>
  </si>
  <si>
    <t xml:space="preserve">Monthly Trend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</si>
</sst>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sz val="11"/>
      <color theme="1"/>
      <name val="Calibri"/>
      <family val="2"/>
      <scheme val="minor"/>
    </font>
    <font>
      <b/>
      <sz val="10"/>
      <color rgb="FFFFFFFF"/>
      <name val="Arial"/>
      <family val="2"/>
    </font>
    <font>
      <sz val="9"/>
      <name val="Arial"/>
      <family val="2"/>
    </font>
    <font>
      <b/>
      <sz val="14"/>
      <color rgb="FF1F4E79"/>
      <name val="Arial"/>
      <family val="2"/>
    </font>
    <font>
      <b/>
      <sz val="10"/>
      <name val="Arial"/>
      <family val="2"/>
    </font>
    <font>
      <sz val="10"/>
      <name val="Arial"/>
      <family val="2"/>
    </font>
    <font>
      <b/>
      <sz val="10"/>
      <color rgb="FFFFFFFF"/>
      <name val="Arial"/>
      <family val="2"/>
    </font>
    <font>
      <sz val="9"/>
      <name val="Arial"/>
      <family val="2"/>
    </font>
    <font>
      <b/>
      <sz val="11"/>
      <color theme="1"/>
      <name val="Calibri"/>
      <family val="2"/>
      <scheme val="minor"/>
    </font>
    <font>
      <b/>
      <sz val="11"/>
      <color theme="1"/>
      <name val="Calibri"/>
      <family val="2"/>
    </font>
    <font>
      <sz val="8"/>
      <name val="Calibri"/>
      <family val="2"/>
      <charset val="1"/>
    </font>
    <font>
      <sz val="11"/>
      <color rgb="FF002060"/>
      <name val="Calibri"/>
      <family val="2"/>
    </font>
    <font>
      <b/>
      <sz val="11"/>
      <color theme="6" tint="-0.499984740745262"/>
      <name val="Calibri"/>
      <family val="2"/>
    </font>
  </fonts>
  <fills count="12">
    <fill>
      <patternFill patternType="none"/>
    </fill>
    <fill>
      <patternFill patternType="gray125"/>
    </fill>
    <fill>
      <patternFill patternType="solid">
        <fgColor rgb="FF1F4E79"/>
        <bgColor rgb="FF003366"/>
      </patternFill>
    </fill>
    <fill>
      <patternFill patternType="solid">
        <fgColor rgb="FFEBF3FB"/>
        <bgColor rgb="FFFFFFFF"/>
      </patternFill>
    </fill>
    <fill>
      <patternFill patternType="solid">
        <fgColor rgb="FFFFFFFF"/>
        <bgColor rgb="FFEBF3FB"/>
      </patternFill>
    </fill>
    <fill>
      <patternFill patternType="solid">
        <fgColor rgb="FFD6E4F0"/>
        <bgColor rgb="FFEBF3FB"/>
      </patternFill>
    </fill>
    <fill>
      <patternFill patternType="solid">
        <fgColor rgb="FF145A32"/>
      </patternFill>
    </fill>
    <fill>
      <patternFill patternType="solid">
        <fgColor rgb="FFEAFAF1"/>
      </patternFill>
    </fill>
    <fill>
      <patternFill patternType="solid">
        <fgColor rgb="FFFFFFFF"/>
      </patternFill>
    </fill>
    <fill>
      <patternFill patternType="solid">
        <fgColor theme="4" tint="0.39997558519241921"/>
        <bgColor indexed="65"/>
      </patternFill>
    </fill>
    <fill>
      <patternFill patternType="solid">
        <fgColor theme="6"/>
        <bgColor rgb="FF003366"/>
      </patternFill>
    </fill>
    <fill>
      <patternFill patternType="solid">
        <fgColor theme="2"/>
        <bgColor indexed="64"/>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bottom style="thick">
        <color theme="4"/>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s>
  <cellStyleXfs count="2">
    <xf numFmtId="0" fontId="0" fillId="0" borderId="0"/>
    <xf numFmtId="0" fontId="1" fillId="9" borderId="0" applyNumberFormat="0" applyBorder="0" applyAlignment="0" applyProtection="0"/>
  </cellStyleXfs>
  <cellXfs count="37">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4" fontId="3" fillId="3" borderId="1" xfId="0" applyNumberFormat="1" applyFont="1" applyFill="1" applyBorder="1" applyAlignment="1">
      <alignment horizontal="center" vertical="center"/>
    </xf>
    <xf numFmtId="2" fontId="3" fillId="3"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4" fontId="3" fillId="4" borderId="1" xfId="0" applyNumberFormat="1" applyFont="1" applyFill="1" applyBorder="1" applyAlignment="1">
      <alignment horizontal="center" vertical="center"/>
    </xf>
    <xf numFmtId="2" fontId="3" fillId="4" borderId="1" xfId="0" applyNumberFormat="1" applyFont="1" applyFill="1" applyBorder="1" applyAlignment="1">
      <alignment horizontal="center" vertical="center"/>
    </xf>
    <xf numFmtId="0" fontId="5" fillId="5" borderId="1" xfId="0" applyFont="1" applyFill="1" applyBorder="1" applyAlignment="1">
      <alignment horizontal="left" vertical="center"/>
    </xf>
    <xf numFmtId="4" fontId="6" fillId="3" borderId="1" xfId="0" applyNumberFormat="1" applyFont="1" applyFill="1" applyBorder="1" applyAlignment="1">
      <alignment horizontal="right" vertical="center"/>
    </xf>
    <xf numFmtId="0" fontId="6" fillId="3" borderId="1" xfId="0" applyFont="1" applyFill="1" applyBorder="1" applyAlignment="1">
      <alignment horizontal="right" vertical="center"/>
    </xf>
    <xf numFmtId="2" fontId="6" fillId="3" borderId="1" xfId="0" applyNumberFormat="1" applyFont="1" applyFill="1" applyBorder="1" applyAlignment="1">
      <alignment horizontal="right" vertical="center"/>
    </xf>
    <xf numFmtId="0" fontId="7" fillId="6" borderId="2" xfId="0" applyFont="1" applyFill="1" applyBorder="1" applyAlignment="1">
      <alignment horizontal="center" vertical="center" wrapText="1"/>
    </xf>
    <xf numFmtId="0" fontId="8" fillId="7" borderId="2" xfId="0" applyFont="1" applyFill="1" applyBorder="1" applyAlignment="1">
      <alignment horizontal="center" vertical="center" wrapText="1"/>
    </xf>
    <xf numFmtId="4" fontId="8" fillId="7" borderId="2" xfId="0" applyNumberFormat="1" applyFont="1" applyFill="1" applyBorder="1" applyAlignment="1">
      <alignment horizontal="center" vertical="center" wrapText="1"/>
    </xf>
    <xf numFmtId="2" fontId="8" fillId="7" borderId="2" xfId="0" applyNumberFormat="1" applyFont="1" applyFill="1" applyBorder="1" applyAlignment="1">
      <alignment horizontal="center" vertical="center" wrapText="1"/>
    </xf>
    <xf numFmtId="0" fontId="8" fillId="8" borderId="2" xfId="0" applyFont="1" applyFill="1" applyBorder="1" applyAlignment="1">
      <alignment horizontal="center" vertical="center" wrapText="1"/>
    </xf>
    <xf numFmtId="4" fontId="8" fillId="8" borderId="2" xfId="0" applyNumberFormat="1" applyFont="1" applyFill="1" applyBorder="1" applyAlignment="1">
      <alignment horizontal="center" vertical="center" wrapText="1"/>
    </xf>
    <xf numFmtId="2" fontId="8" fillId="8" borderId="2"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4" fontId="0" fillId="0" borderId="0" xfId="0" applyNumberFormat="1"/>
    <xf numFmtId="0" fontId="0" fillId="0" borderId="0" xfId="0" applyAlignment="1">
      <alignment horizontal="center"/>
    </xf>
    <xf numFmtId="0" fontId="2" fillId="10"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5" fillId="5" borderId="4" xfId="0" applyFont="1" applyFill="1" applyBorder="1" applyAlignment="1">
      <alignment vertical="center"/>
    </xf>
    <xf numFmtId="0" fontId="5" fillId="5" borderId="5" xfId="0" applyFont="1" applyFill="1" applyBorder="1" applyAlignment="1">
      <alignment vertical="center"/>
    </xf>
    <xf numFmtId="0" fontId="0" fillId="0" borderId="3" xfId="0" applyBorder="1" applyAlignment="1">
      <alignment horizontal="center"/>
    </xf>
    <xf numFmtId="0" fontId="13" fillId="11" borderId="0" xfId="0" applyFont="1" applyFill="1" applyAlignment="1">
      <alignment horizontal="center"/>
    </xf>
    <xf numFmtId="0" fontId="0" fillId="11" borderId="0" xfId="0" applyFill="1" applyAlignment="1">
      <alignment horizontal="center"/>
    </xf>
    <xf numFmtId="0" fontId="10" fillId="11" borderId="0" xfId="0" applyFont="1" applyFill="1" applyAlignment="1">
      <alignment horizontal="center"/>
    </xf>
    <xf numFmtId="0" fontId="9" fillId="11" borderId="3" xfId="1" applyFont="1" applyFill="1" applyBorder="1" applyAlignment="1">
      <alignment horizontal="center" vertical="center"/>
    </xf>
    <xf numFmtId="0" fontId="12" fillId="11" borderId="0" xfId="0" applyFont="1" applyFill="1" applyAlignment="1">
      <alignment horizontal="center"/>
    </xf>
    <xf numFmtId="0" fontId="4" fillId="0" borderId="0" xfId="0" applyFont="1"/>
    <xf numFmtId="0" fontId="0" fillId="0" borderId="0" xfId="0"/>
    <xf numFmtId="0" fontId="10" fillId="0" borderId="0" xfId="0" applyFont="1" applyAlignment="1">
      <alignment horizontal="center"/>
    </xf>
    <xf numFmtId="0" fontId="0" fillId="0" borderId="0" xfId="0" applyAlignment="1">
      <alignment horizontal="center"/>
    </xf>
  </cellXfs>
  <cellStyles count="2">
    <cellStyle name="60% - Accent1" xfId="1" builtinId="32"/>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EBF3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[IIT DELHI PROJECT 1.xlsx]Pivot Table !PivotTable8</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rgbClr val="002060"/>
                </a:solidFill>
              </a:rPr>
              <a:t>REVENUE</a:t>
            </a:r>
            <a:r>
              <a:rPr lang="en-US" baseline="0">
                <a:solidFill>
                  <a:srgbClr val="002060"/>
                </a:solidFill>
              </a:rPr>
              <a:t> BY REGION </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'!$I$30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 '!$H$31:$H$35</c:f>
              <c:strCache>
                <c:ptCount val="4"/>
                <c:pt idx="0">
                  <c:v>East</c:v>
                </c:pt>
                <c:pt idx="1">
                  <c:v>North</c:v>
                </c:pt>
                <c:pt idx="2">
                  <c:v>South</c:v>
                </c:pt>
                <c:pt idx="3">
                  <c:v>West</c:v>
                </c:pt>
              </c:strCache>
            </c:strRef>
          </c:cat>
          <c:val>
            <c:numRef>
              <c:f>'Pivot Table '!$I$31:$I$35</c:f>
              <c:numCache>
                <c:formatCode>#,##0.00</c:formatCode>
                <c:ptCount val="4"/>
                <c:pt idx="0">
                  <c:v>10376896.51</c:v>
                </c:pt>
                <c:pt idx="1">
                  <c:v>11257850.890000002</c:v>
                </c:pt>
                <c:pt idx="2">
                  <c:v>9041366.9399999995</c:v>
                </c:pt>
                <c:pt idx="3">
                  <c:v>9548666.7000000011</c:v>
                </c:pt>
              </c:numCache>
            </c:numRef>
          </c:val>
          <c:extLst>
            <c:ext xmlns:c16="http://schemas.microsoft.com/office/drawing/2014/chart" uri="{C3380CC4-5D6E-409C-BE32-E72D297353CC}">
              <c16:uniqueId val="{00000000-B20C-4E83-A29D-B6B7D4AC4B15}"/>
            </c:ext>
          </c:extLst>
        </c:ser>
        <c:dLbls>
          <c:showLegendKey val="0"/>
          <c:showVal val="0"/>
          <c:showCatName val="0"/>
          <c:showSerName val="0"/>
          <c:showPercent val="0"/>
          <c:showBubbleSize val="0"/>
        </c:dLbls>
        <c:gapWidth val="355"/>
        <c:overlap val="-70"/>
        <c:axId val="296294479"/>
        <c:axId val="296294975"/>
      </c:barChart>
      <c:catAx>
        <c:axId val="29629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294975"/>
        <c:crosses val="autoZero"/>
        <c:auto val="1"/>
        <c:lblAlgn val="ctr"/>
        <c:lblOffset val="100"/>
        <c:noMultiLvlLbl val="0"/>
      </c:catAx>
      <c:valAx>
        <c:axId val="296294975"/>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29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[IIT DELHI PROJECT 1.xlsx]Pivot Table !PivotTable7</c:name>
    <c:fmtId val="1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b="1" i="0" u="none" strike="noStrike" cap="all" baseline="0">
                <a:solidFill>
                  <a:srgbClr val="002060"/>
                </a:solidFill>
              </a:rPr>
              <a:t>Category-wise Revenue Performance</a:t>
            </a:r>
            <a:endParaRPr lang="en-US">
              <a:solidFill>
                <a:srgbClr val="002060"/>
              </a:solidFill>
            </a:endParaRPr>
          </a:p>
        </c:rich>
      </c:tx>
      <c:layout>
        <c:manualLayout>
          <c:xMode val="edge"/>
          <c:yMode val="edge"/>
          <c:x val="0.19538231804794032"/>
          <c:y val="0.1211628066877879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73377222874763"/>
          <c:y val="0.38884954548364375"/>
          <c:w val="0.46275213526485987"/>
          <c:h val="0.46671427885538691"/>
        </c:manualLayout>
      </c:layout>
      <c:barChart>
        <c:barDir val="bar"/>
        <c:grouping val="clustered"/>
        <c:varyColors val="0"/>
        <c:ser>
          <c:idx val="0"/>
          <c:order val="0"/>
          <c:tx>
            <c:strRef>
              <c:f>'Pivot Table '!$M$5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trendline>
            <c:spPr>
              <a:ln w="9525" cap="rnd">
                <a:solidFill>
                  <a:schemeClr val="accent1"/>
                </a:solidFill>
              </a:ln>
              <a:effectLst/>
            </c:spPr>
            <c:trendlineType val="linear"/>
            <c:dispRSqr val="0"/>
            <c:dispEq val="0"/>
          </c:trendline>
          <c:cat>
            <c:strRef>
              <c:f>'Pivot Table '!$L$6:$L$11</c:f>
              <c:strCache>
                <c:ptCount val="5"/>
                <c:pt idx="0">
                  <c:v>Apparel</c:v>
                </c:pt>
                <c:pt idx="1">
                  <c:v>Appliances</c:v>
                </c:pt>
                <c:pt idx="2">
                  <c:v>Electronics</c:v>
                </c:pt>
                <c:pt idx="3">
                  <c:v>Furniture</c:v>
                </c:pt>
                <c:pt idx="4">
                  <c:v>Grocery</c:v>
                </c:pt>
              </c:strCache>
            </c:strRef>
          </c:cat>
          <c:val>
            <c:numRef>
              <c:f>'Pivot Table '!$M$6:$M$11</c:f>
              <c:numCache>
                <c:formatCode>#,##0.00</c:formatCode>
                <c:ptCount val="5"/>
                <c:pt idx="0">
                  <c:v>1932923.6999999997</c:v>
                </c:pt>
                <c:pt idx="1">
                  <c:v>15932923.360000001</c:v>
                </c:pt>
                <c:pt idx="2">
                  <c:v>11546194.600000001</c:v>
                </c:pt>
                <c:pt idx="3">
                  <c:v>10680669.939999999</c:v>
                </c:pt>
                <c:pt idx="4">
                  <c:v>132069.43999999997</c:v>
                </c:pt>
              </c:numCache>
            </c:numRef>
          </c:val>
          <c:extLst>
            <c:ext xmlns:c16="http://schemas.microsoft.com/office/drawing/2014/chart" uri="{C3380CC4-5D6E-409C-BE32-E72D297353CC}">
              <c16:uniqueId val="{00000000-38A6-4D18-AB44-8ECA9084F5E6}"/>
            </c:ext>
          </c:extLst>
        </c:ser>
        <c:dLbls>
          <c:showLegendKey val="0"/>
          <c:showVal val="0"/>
          <c:showCatName val="0"/>
          <c:showSerName val="0"/>
          <c:showPercent val="0"/>
          <c:showBubbleSize val="0"/>
        </c:dLbls>
        <c:gapWidth val="326"/>
        <c:overlap val="-58"/>
        <c:axId val="326287503"/>
        <c:axId val="1541025663"/>
      </c:barChart>
      <c:catAx>
        <c:axId val="326287503"/>
        <c:scaling>
          <c:orientation val="minMax"/>
        </c:scaling>
        <c:delete val="0"/>
        <c:axPos val="l"/>
        <c:numFmt formatCode="General" sourceLinked="1"/>
        <c:majorTickMark val="out"/>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025663"/>
        <c:crosses val="autoZero"/>
        <c:auto val="1"/>
        <c:lblAlgn val="ctr"/>
        <c:lblOffset val="100"/>
        <c:noMultiLvlLbl val="0"/>
      </c:catAx>
      <c:valAx>
        <c:axId val="1541025663"/>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28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[IIT DELHI PROJECT 1.xlsx]Pivot Table !PivotTable5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 REVENUE</a:t>
            </a:r>
            <a:r>
              <a:rPr lang="en-US" b="1" baseline="0">
                <a:solidFill>
                  <a:srgbClr val="002060"/>
                </a:solidFill>
              </a:rPr>
              <a:t> BY MONTH </a:t>
            </a:r>
          </a:p>
          <a:p>
            <a:pPr>
              <a:defRPr/>
            </a:pP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 '!$A$4:$A$16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'!$B$4:$B$16</c:f>
              <c:numCache>
                <c:formatCode>#,##0.00</c:formatCode>
                <c:ptCount val="12"/>
                <c:pt idx="0">
                  <c:v>2812795.52</c:v>
                </c:pt>
                <c:pt idx="1">
                  <c:v>5431432.1900000004</c:v>
                </c:pt>
                <c:pt idx="2">
                  <c:v>2347726.4299999997</c:v>
                </c:pt>
                <c:pt idx="3">
                  <c:v>2305176.6</c:v>
                </c:pt>
                <c:pt idx="4">
                  <c:v>3693054.42</c:v>
                </c:pt>
                <c:pt idx="5">
                  <c:v>4163420.0500000003</c:v>
                </c:pt>
                <c:pt idx="6">
                  <c:v>4276114.37</c:v>
                </c:pt>
                <c:pt idx="7">
                  <c:v>3131757.7699999996</c:v>
                </c:pt>
                <c:pt idx="8">
                  <c:v>3431160.1700000004</c:v>
                </c:pt>
                <c:pt idx="9">
                  <c:v>3885088.61</c:v>
                </c:pt>
                <c:pt idx="10">
                  <c:v>1847198.5700000003</c:v>
                </c:pt>
                <c:pt idx="11">
                  <c:v>2899856.3399999994</c:v>
                </c:pt>
              </c:numCache>
            </c:numRef>
          </c:val>
          <c:smooth val="0"/>
          <c:extLst>
            <c:ext xmlns:c16="http://schemas.microsoft.com/office/drawing/2014/chart" uri="{C3380CC4-5D6E-409C-BE32-E72D297353CC}">
              <c16:uniqueId val="{00000000-3A95-4ADA-8305-879474019079}"/>
            </c:ext>
          </c:extLst>
        </c:ser>
        <c:dLbls>
          <c:showLegendKey val="0"/>
          <c:showVal val="0"/>
          <c:showCatName val="0"/>
          <c:showSerName val="0"/>
          <c:showPercent val="0"/>
          <c:showBubbleSize val="0"/>
        </c:dLbls>
        <c:smooth val="0"/>
        <c:axId val="515824127"/>
        <c:axId val="515825119"/>
      </c:lineChart>
      <c:catAx>
        <c:axId val="51582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825119"/>
        <c:crosses val="autoZero"/>
        <c:auto val="1"/>
        <c:lblAlgn val="ctr"/>
        <c:lblOffset val="100"/>
        <c:noMultiLvlLbl val="0"/>
      </c:catAx>
      <c:valAx>
        <c:axId val="515825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82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Sales Distrubtion Channel</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v>Total</c:v>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4A13-4F89-8053-5919DE91D28C}"/>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4A13-4F89-8053-5919DE91D28C}"/>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4080761735420919"/>
                      <c:h val="0.11179051206369431"/>
                    </c:manualLayout>
                  </c15:layout>
                </c:ext>
                <c:ext xmlns:c16="http://schemas.microsoft.com/office/drawing/2014/chart" uri="{C3380CC4-5D6E-409C-BE32-E72D297353CC}">
                  <c16:uniqueId val="{00000001-4A13-4F89-8053-5919DE91D2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2"/>
              <c:pt idx="0">
                <c:v>Offline</c:v>
              </c:pt>
              <c:pt idx="1">
                <c:v>Online</c:v>
              </c:pt>
            </c:strLit>
          </c:cat>
          <c:val>
            <c:numLit>
              <c:formatCode>General</c:formatCode>
              <c:ptCount val="2"/>
              <c:pt idx="0">
                <c:v>20721631.690000001</c:v>
              </c:pt>
              <c:pt idx="1">
                <c:v>20292513.160000008</c:v>
              </c:pt>
            </c:numLit>
          </c:val>
          <c:extLst>
            <c:ext xmlns:c16="http://schemas.microsoft.com/office/drawing/2014/chart" uri="{C3380CC4-5D6E-409C-BE32-E72D297353CC}">
              <c16:uniqueId val="{00000004-4A13-4F89-8053-5919DE91D28C}"/>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34248</xdr:colOff>
      <xdr:row>11</xdr:row>
      <xdr:rowOff>132452</xdr:rowOff>
    </xdr:from>
    <xdr:to>
      <xdr:col>11</xdr:col>
      <xdr:colOff>128428</xdr:colOff>
      <xdr:row>28</xdr:row>
      <xdr:rowOff>85618</xdr:rowOff>
    </xdr:to>
    <xdr:graphicFrame macro="">
      <xdr:nvGraphicFramePr>
        <xdr:cNvPr id="3" name="Chart 2">
          <a:extLst>
            <a:ext uri="{FF2B5EF4-FFF2-40B4-BE49-F238E27FC236}">
              <a16:creationId xmlns:a16="http://schemas.microsoft.com/office/drawing/2014/main" id="{FDBECF18-B712-49AC-A39E-51A18248E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214046</xdr:colOff>
      <xdr:row>11</xdr:row>
      <xdr:rowOff>133795</xdr:rowOff>
    </xdr:from>
    <xdr:to>
      <xdr:col>18</xdr:col>
      <xdr:colOff>447387</xdr:colOff>
      <xdr:row>28</xdr:row>
      <xdr:rowOff>68495</xdr:rowOff>
    </xdr:to>
    <xdr:graphicFrame macro="">
      <xdr:nvGraphicFramePr>
        <xdr:cNvPr id="6" name="Chart 5">
          <a:extLst>
            <a:ext uri="{FF2B5EF4-FFF2-40B4-BE49-F238E27FC236}">
              <a16:creationId xmlns:a16="http://schemas.microsoft.com/office/drawing/2014/main" id="{0F949A19-08D2-41FE-84D7-8FA3D2F6B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522270</xdr:colOff>
      <xdr:row>11</xdr:row>
      <xdr:rowOff>154114</xdr:rowOff>
    </xdr:from>
    <xdr:to>
      <xdr:col>26</xdr:col>
      <xdr:colOff>530831</xdr:colOff>
      <xdr:row>28</xdr:row>
      <xdr:rowOff>25686</xdr:rowOff>
    </xdr:to>
    <xdr:graphicFrame macro="">
      <xdr:nvGraphicFramePr>
        <xdr:cNvPr id="7" name="Chart 6">
          <a:extLst>
            <a:ext uri="{FF2B5EF4-FFF2-40B4-BE49-F238E27FC236}">
              <a16:creationId xmlns:a16="http://schemas.microsoft.com/office/drawing/2014/main" id="{768650A6-225B-4894-A474-C690F271C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35273</xdr:colOff>
      <xdr:row>0</xdr:row>
      <xdr:rowOff>66611</xdr:rowOff>
    </xdr:from>
    <xdr:to>
      <xdr:col>27</xdr:col>
      <xdr:colOff>162674</xdr:colOff>
      <xdr:row>11</xdr:row>
      <xdr:rowOff>68495</xdr:rowOff>
    </xdr:to>
    <xdr:graphicFrame macro="">
      <xdr:nvGraphicFramePr>
        <xdr:cNvPr id="8" name="Chart 7">
          <a:extLst>
            <a:ext uri="{FF2B5EF4-FFF2-40B4-BE49-F238E27FC236}">
              <a16:creationId xmlns:a16="http://schemas.microsoft.com/office/drawing/2014/main" id="{E44B4DCF-329C-417D-98AE-6F9BA68A7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333910</xdr:colOff>
      <xdr:row>0</xdr:row>
      <xdr:rowOff>51371</xdr:rowOff>
    </xdr:from>
    <xdr:to>
      <xdr:col>13</xdr:col>
      <xdr:colOff>84934</xdr:colOff>
      <xdr:row>4</xdr:row>
      <xdr:rowOff>112417</xdr:rowOff>
    </xdr:to>
    <mc:AlternateContent xmlns:mc="http://schemas.openxmlformats.org/markup-compatibility/2006">
      <mc:Choice xmlns:a14="http://schemas.microsoft.com/office/drawing/2010/main" Requires="a14">
        <xdr:graphicFrame macro="">
          <xdr:nvGraphicFramePr>
            <xdr:cNvPr id="9" name="Sales Channel 1">
              <a:extLst>
                <a:ext uri="{FF2B5EF4-FFF2-40B4-BE49-F238E27FC236}">
                  <a16:creationId xmlns:a16="http://schemas.microsoft.com/office/drawing/2014/main" id="{69CC2DD2-E49F-44FD-857D-9EC2D589277D}"/>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7397393" y="51371"/>
              <a:ext cx="1574687" cy="797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667820</xdr:colOff>
      <xdr:row>4</xdr:row>
      <xdr:rowOff>145550</xdr:rowOff>
    </xdr:from>
    <xdr:to>
      <xdr:col>12</xdr:col>
      <xdr:colOff>162675</xdr:colOff>
      <xdr:row>11</xdr:row>
      <xdr:rowOff>68494</xdr:rowOff>
    </xdr:to>
    <mc:AlternateContent xmlns:mc="http://schemas.openxmlformats.org/markup-compatibility/2006">
      <mc:Choice xmlns:a14="http://schemas.microsoft.com/office/drawing/2010/main" Requires="a14">
        <xdr:graphicFrame macro="">
          <xdr:nvGraphicFramePr>
            <xdr:cNvPr id="10" name="Product Category 1">
              <a:extLst>
                <a:ext uri="{FF2B5EF4-FFF2-40B4-BE49-F238E27FC236}">
                  <a16:creationId xmlns:a16="http://schemas.microsoft.com/office/drawing/2014/main" id="{5EA6F70C-6459-4DA1-8B54-608F939AEA5D}"/>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4708989" y="881865"/>
              <a:ext cx="3732944" cy="1198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60959</xdr:colOff>
      <xdr:row>0</xdr:row>
      <xdr:rowOff>1</xdr:rowOff>
    </xdr:from>
    <xdr:to>
      <xdr:col>20</xdr:col>
      <xdr:colOff>8560</xdr:colOff>
      <xdr:row>4</xdr:row>
      <xdr:rowOff>99060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5E5C888C-FAAA-4FCA-B392-3E776481AB0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948105" y="1"/>
              <a:ext cx="4202815" cy="835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198120</xdr:colOff>
      <xdr:row>4</xdr:row>
      <xdr:rowOff>129541</xdr:rowOff>
    </xdr:from>
    <xdr:to>
      <xdr:col>20</xdr:col>
      <xdr:colOff>22860</xdr:colOff>
      <xdr:row>11</xdr:row>
      <xdr:rowOff>76200</xdr:rowOff>
    </xdr:to>
    <mc:AlternateContent xmlns:mc="http://schemas.openxmlformats.org/markup-compatibility/2006" xmlns:a14="http://schemas.microsoft.com/office/drawing/2010/main">
      <mc:Choice Requires="a14">
        <xdr:graphicFrame macro="">
          <xdr:nvGraphicFramePr>
            <xdr:cNvPr id="12" name="Month 1">
              <a:extLst>
                <a:ext uri="{FF2B5EF4-FFF2-40B4-BE49-F238E27FC236}">
                  <a16:creationId xmlns:a16="http://schemas.microsoft.com/office/drawing/2014/main" id="{2E74842A-B243-4A4D-AB46-E3B11B20C90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477378" y="865856"/>
              <a:ext cx="4687842" cy="1222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51371</xdr:colOff>
      <xdr:row>4</xdr:row>
      <xdr:rowOff>137159</xdr:rowOff>
    </xdr:from>
    <xdr:to>
      <xdr:col>6</xdr:col>
      <xdr:colOff>655320</xdr:colOff>
      <xdr:row>11</xdr:row>
      <xdr:rowOff>111303</xdr:rowOff>
    </xdr:to>
    <mc:AlternateContent xmlns:mc="http://schemas.openxmlformats.org/markup-compatibility/2006" xmlns:a14="http://schemas.microsoft.com/office/drawing/2010/main">
      <mc:Choice Requires="a14">
        <xdr:graphicFrame macro="">
          <xdr:nvGraphicFramePr>
            <xdr:cNvPr id="13" name="Customer Type 1">
              <a:extLst>
                <a:ext uri="{FF2B5EF4-FFF2-40B4-BE49-F238E27FC236}">
                  <a16:creationId xmlns:a16="http://schemas.microsoft.com/office/drawing/2014/main" id="{9215A235-66B4-4CC9-9E44-425BCCA0DAFC}"/>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875034" y="873474"/>
              <a:ext cx="2821455" cy="1249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42809</xdr:colOff>
      <xdr:row>0</xdr:row>
      <xdr:rowOff>42809</xdr:rowOff>
    </xdr:from>
    <xdr:to>
      <xdr:col>5</xdr:col>
      <xdr:colOff>693506</xdr:colOff>
      <xdr:row>3</xdr:row>
      <xdr:rowOff>94180</xdr:rowOff>
    </xdr:to>
    <xdr:sp macro="" textlink="">
      <xdr:nvSpPr>
        <xdr:cNvPr id="16" name="Rectangle 15">
          <a:extLst>
            <a:ext uri="{FF2B5EF4-FFF2-40B4-BE49-F238E27FC236}">
              <a16:creationId xmlns:a16="http://schemas.microsoft.com/office/drawing/2014/main" id="{191EE061-37D5-BA95-D28D-DABA0ACB1EA8}"/>
            </a:ext>
          </a:extLst>
        </xdr:cNvPr>
        <xdr:cNvSpPr/>
      </xdr:nvSpPr>
      <xdr:spPr>
        <a:xfrm>
          <a:off x="1866472" y="42809"/>
          <a:ext cx="1866472" cy="599326"/>
        </a:xfrm>
        <a:prstGeom prst="rect">
          <a:avLst/>
        </a:prstGeom>
        <a:ln>
          <a:solidFill>
            <a:schemeClr val="tx2"/>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IN" sz="1100" b="1">
              <a:solidFill>
                <a:srgbClr val="002060"/>
              </a:solidFill>
            </a:rPr>
            <a:t>TOTAL</a:t>
          </a:r>
          <a:r>
            <a:rPr lang="en-IN" sz="1100" b="1" baseline="0">
              <a:solidFill>
                <a:srgbClr val="002060"/>
              </a:solidFill>
            </a:rPr>
            <a:t> REVENUE:  4,02,24,781.04</a:t>
          </a:r>
          <a:endParaRPr lang="en-IN" sz="1100" b="1">
            <a:solidFill>
              <a:srgbClr val="002060"/>
            </a:solidFill>
          </a:endParaRPr>
        </a:p>
      </xdr:txBody>
    </xdr:sp>
    <xdr:clientData/>
  </xdr:twoCellAnchor>
  <xdr:twoCellAnchor>
    <xdr:from>
      <xdr:col>5</xdr:col>
      <xdr:colOff>710631</xdr:colOff>
      <xdr:row>0</xdr:row>
      <xdr:rowOff>34247</xdr:rowOff>
    </xdr:from>
    <xdr:to>
      <xdr:col>7</xdr:col>
      <xdr:colOff>248292</xdr:colOff>
      <xdr:row>2</xdr:row>
      <xdr:rowOff>68495</xdr:rowOff>
    </xdr:to>
    <xdr:sp macro="" textlink="">
      <xdr:nvSpPr>
        <xdr:cNvPr id="17" name="Rectangle 16">
          <a:extLst>
            <a:ext uri="{FF2B5EF4-FFF2-40B4-BE49-F238E27FC236}">
              <a16:creationId xmlns:a16="http://schemas.microsoft.com/office/drawing/2014/main" id="{7CB7FFA4-4F99-44DF-80F4-2A3E7F1EB32B}"/>
            </a:ext>
          </a:extLst>
        </xdr:cNvPr>
        <xdr:cNvSpPr/>
      </xdr:nvSpPr>
      <xdr:spPr>
        <a:xfrm>
          <a:off x="3750069" y="34247"/>
          <a:ext cx="1738043" cy="393844"/>
        </a:xfrm>
        <a:prstGeom prst="rect">
          <a:avLst/>
        </a:prstGeom>
        <a:ln>
          <a:solidFill>
            <a:schemeClr val="tx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b="1">
              <a:solidFill>
                <a:srgbClr val="002060"/>
              </a:solidFill>
            </a:rPr>
            <a:t>TOTAL</a:t>
          </a:r>
          <a:r>
            <a:rPr lang="en-IN" sz="1100" b="1" baseline="0">
              <a:solidFill>
                <a:srgbClr val="002060"/>
              </a:solidFill>
            </a:rPr>
            <a:t> UNITS SOLD : 3019</a:t>
          </a:r>
          <a:endParaRPr lang="en-IN" sz="1100" b="1">
            <a:solidFill>
              <a:srgbClr val="002060"/>
            </a:solidFill>
          </a:endParaRPr>
        </a:p>
      </xdr:txBody>
    </xdr:sp>
    <xdr:clientData/>
  </xdr:twoCellAnchor>
  <xdr:twoCellAnchor>
    <xdr:from>
      <xdr:col>7</xdr:col>
      <xdr:colOff>239731</xdr:colOff>
      <xdr:row>0</xdr:row>
      <xdr:rowOff>34247</xdr:rowOff>
    </xdr:from>
    <xdr:to>
      <xdr:col>10</xdr:col>
      <xdr:colOff>333910</xdr:colOff>
      <xdr:row>2</xdr:row>
      <xdr:rowOff>17123</xdr:rowOff>
    </xdr:to>
    <xdr:sp macro="" textlink="">
      <xdr:nvSpPr>
        <xdr:cNvPr id="18" name="Rectangle 17">
          <a:extLst>
            <a:ext uri="{FF2B5EF4-FFF2-40B4-BE49-F238E27FC236}">
              <a16:creationId xmlns:a16="http://schemas.microsoft.com/office/drawing/2014/main" id="{FB02A9D6-9016-41E1-AE21-30215163BFE6}"/>
            </a:ext>
          </a:extLst>
        </xdr:cNvPr>
        <xdr:cNvSpPr/>
      </xdr:nvSpPr>
      <xdr:spPr>
        <a:xfrm>
          <a:off x="5479551" y="34247"/>
          <a:ext cx="1917842" cy="342472"/>
        </a:xfrm>
        <a:prstGeom prst="rect">
          <a:avLst/>
        </a:prstGeom>
        <a:ln>
          <a:solidFill>
            <a:schemeClr val="tx2"/>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IN" sz="1100" b="1">
              <a:solidFill>
                <a:srgbClr val="002060"/>
              </a:solidFill>
            </a:rPr>
            <a:t>TOTAL</a:t>
          </a:r>
          <a:r>
            <a:rPr lang="en-IN" sz="1100" b="1" baseline="0">
              <a:solidFill>
                <a:srgbClr val="002060"/>
              </a:solidFill>
            </a:rPr>
            <a:t> PROFIT: 93,54,764.71</a:t>
          </a:r>
          <a:endParaRPr lang="en-IN" sz="1100" b="1">
            <a:solidFill>
              <a:srgbClr val="002060"/>
            </a:solidFill>
          </a:endParaRPr>
        </a:p>
      </xdr:txBody>
    </xdr:sp>
    <xdr:clientData/>
  </xdr:twoCellAnchor>
  <xdr:twoCellAnchor>
    <xdr:from>
      <xdr:col>7</xdr:col>
      <xdr:colOff>256853</xdr:colOff>
      <xdr:row>2</xdr:row>
      <xdr:rowOff>59931</xdr:rowOff>
    </xdr:from>
    <xdr:to>
      <xdr:col>10</xdr:col>
      <xdr:colOff>308225</xdr:colOff>
      <xdr:row>4</xdr:row>
      <xdr:rowOff>128427</xdr:rowOff>
    </xdr:to>
    <xdr:sp macro="" textlink="">
      <xdr:nvSpPr>
        <xdr:cNvPr id="19" name="Rectangle 18">
          <a:extLst>
            <a:ext uri="{FF2B5EF4-FFF2-40B4-BE49-F238E27FC236}">
              <a16:creationId xmlns:a16="http://schemas.microsoft.com/office/drawing/2014/main" id="{56DCF6B0-F61A-47C5-B235-317681A6647C}"/>
            </a:ext>
          </a:extLst>
        </xdr:cNvPr>
        <xdr:cNvSpPr/>
      </xdr:nvSpPr>
      <xdr:spPr>
        <a:xfrm>
          <a:off x="5496673" y="419527"/>
          <a:ext cx="1875035" cy="445215"/>
        </a:xfrm>
        <a:prstGeom prst="rect">
          <a:avLst/>
        </a:prstGeom>
        <a:ln>
          <a:solidFill>
            <a:schemeClr val="tx2"/>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IN" sz="1100" b="1">
              <a:solidFill>
                <a:srgbClr val="002060"/>
              </a:solidFill>
            </a:rPr>
            <a:t>AVERAGE</a:t>
          </a:r>
          <a:r>
            <a:rPr lang="en-IN" sz="1100" b="1" baseline="0">
              <a:solidFill>
                <a:srgbClr val="002060"/>
              </a:solidFill>
            </a:rPr>
            <a:t> GROWTH % : 9.02</a:t>
          </a:r>
          <a:endParaRPr lang="en-IN" sz="1100" b="1">
            <a:solidFill>
              <a:srgbClr val="002060"/>
            </a:solidFill>
          </a:endParaRPr>
        </a:p>
      </xdr:txBody>
    </xdr:sp>
    <xdr:clientData/>
  </xdr:twoCellAnchor>
  <xdr:twoCellAnchor>
    <xdr:from>
      <xdr:col>5</xdr:col>
      <xdr:colOff>693506</xdr:colOff>
      <xdr:row>2</xdr:row>
      <xdr:rowOff>68494</xdr:rowOff>
    </xdr:from>
    <xdr:to>
      <xdr:col>7</xdr:col>
      <xdr:colOff>248294</xdr:colOff>
      <xdr:row>4</xdr:row>
      <xdr:rowOff>136988</xdr:rowOff>
    </xdr:to>
    <xdr:sp macro="" textlink="">
      <xdr:nvSpPr>
        <xdr:cNvPr id="20" name="Rectangle 19">
          <a:extLst>
            <a:ext uri="{FF2B5EF4-FFF2-40B4-BE49-F238E27FC236}">
              <a16:creationId xmlns:a16="http://schemas.microsoft.com/office/drawing/2014/main" id="{48F3BA22-8A60-4D18-BA51-1CEEA315B9B7}"/>
            </a:ext>
          </a:extLst>
        </xdr:cNvPr>
        <xdr:cNvSpPr/>
      </xdr:nvSpPr>
      <xdr:spPr>
        <a:xfrm>
          <a:off x="3732944" y="428090"/>
          <a:ext cx="1755170" cy="445213"/>
        </a:xfrm>
        <a:prstGeom prst="rect">
          <a:avLst/>
        </a:prstGeom>
        <a:ln>
          <a:solidFill>
            <a:schemeClr val="tx2"/>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IN" sz="1100" b="1">
              <a:solidFill>
                <a:srgbClr val="002060"/>
              </a:solidFill>
            </a:rPr>
            <a:t>TOTAL</a:t>
          </a:r>
          <a:r>
            <a:rPr lang="en-IN" sz="1100" b="1" baseline="0">
              <a:solidFill>
                <a:srgbClr val="002060"/>
              </a:solidFill>
            </a:rPr>
            <a:t> TRANSACTIONS   : 120 </a:t>
          </a:r>
          <a:endParaRPr lang="en-IN" sz="1100" b="1">
            <a:solidFill>
              <a:srgbClr val="002060"/>
            </a:solidFill>
          </a:endParaRPr>
        </a:p>
      </xdr:txBody>
    </xdr:sp>
    <xdr:clientData/>
  </xdr:twoCellAnchor>
  <xdr:twoCellAnchor>
    <xdr:from>
      <xdr:col>3</xdr:col>
      <xdr:colOff>51371</xdr:colOff>
      <xdr:row>3</xdr:row>
      <xdr:rowOff>102741</xdr:rowOff>
    </xdr:from>
    <xdr:to>
      <xdr:col>5</xdr:col>
      <xdr:colOff>667820</xdr:colOff>
      <xdr:row>4</xdr:row>
      <xdr:rowOff>136988</xdr:rowOff>
    </xdr:to>
    <xdr:sp macro="" textlink="">
      <xdr:nvSpPr>
        <xdr:cNvPr id="21" name="Rectangle 20">
          <a:extLst>
            <a:ext uri="{FF2B5EF4-FFF2-40B4-BE49-F238E27FC236}">
              <a16:creationId xmlns:a16="http://schemas.microsoft.com/office/drawing/2014/main" id="{B13F7C96-3B67-4D41-A442-E676A0BD932B}"/>
            </a:ext>
          </a:extLst>
        </xdr:cNvPr>
        <xdr:cNvSpPr/>
      </xdr:nvSpPr>
      <xdr:spPr>
        <a:xfrm>
          <a:off x="1875034" y="650696"/>
          <a:ext cx="1832224" cy="222607"/>
        </a:xfrm>
        <a:prstGeom prst="rect">
          <a:avLst/>
        </a:prstGeom>
        <a:ln>
          <a:solidFill>
            <a:schemeClr val="tx2"/>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IN" sz="1100" b="1">
              <a:solidFill>
                <a:srgbClr val="002060"/>
              </a:solidFill>
            </a:rPr>
            <a:t>NEW</a:t>
          </a:r>
          <a:r>
            <a:rPr lang="en-IN" sz="1100" b="1" baseline="0">
              <a:solidFill>
                <a:srgbClr val="002060"/>
              </a:solidFill>
            </a:rPr>
            <a:t> CUSTOMERS : 58</a:t>
          </a:r>
          <a:endParaRPr lang="en-IN" sz="1100" b="1">
            <a:solidFill>
              <a:srgbClr val="00206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itha juvvadi" refreshedDate="46121.702575115742" createdVersion="8" refreshedVersion="8" minRefreshableVersion="3" recordCount="120" xr:uid="{125E2F67-590B-4055-BE90-D337E4421ACC}">
  <cacheSource type="worksheet">
    <worksheetSource ref="B1:Q121" sheet="Cleaned Data"/>
  </cacheSource>
  <cacheFields count="16">
    <cacheField name="Month" numFmtId="0">
      <sharedItems count="12">
        <s v="January"/>
        <s v="February"/>
        <s v="March"/>
        <s v="April"/>
        <s v="May"/>
        <s v="June"/>
        <s v="July"/>
        <s v="August"/>
        <s v="September"/>
        <s v="October"/>
        <s v="November"/>
        <s v="December"/>
      </sharedItems>
    </cacheField>
    <cacheField name="Region" numFmtId="0">
      <sharedItems count="4">
        <s v="South"/>
        <s v="West"/>
        <s v="North"/>
        <s v="East"/>
      </sharedItems>
    </cacheField>
    <cacheField name="State/City" numFmtId="0">
      <sharedItems/>
    </cacheField>
    <cacheField name="Sales Executive Name" numFmtId="0">
      <sharedItems count="12">
        <s v="Sanjay Gupta"/>
        <s v="Meera Joshi"/>
        <s v="Deepa Iyer"/>
        <s v="Anjali Nair"/>
        <s v="Sneha Patel"/>
        <s v="Aditya Kumar"/>
        <s v="Priya Sharma"/>
        <s v="Arjun Mehta"/>
        <s v="Rohan Verma"/>
        <s v="Pooja Reddy"/>
        <s v="Vikram Rao"/>
        <s v="Karan Singh"/>
      </sharedItems>
    </cacheField>
    <cacheField name="Product Category" numFmtId="0">
      <sharedItems count="5">
        <s v="Electronics"/>
        <s v="Apparel"/>
        <s v="Appliances"/>
        <s v="Furniture"/>
        <s v="Grocery"/>
      </sharedItems>
    </cacheField>
    <cacheField name="Product Name" numFmtId="0">
      <sharedItems/>
    </cacheField>
    <cacheField name="Units Sold" numFmtId="0">
      <sharedItems containsSemiMixedTypes="0" containsString="0" containsNumber="1" containsInteger="1" minValue="1" maxValue="50"/>
    </cacheField>
    <cacheField name="Selling Price (₹)" numFmtId="4">
      <sharedItems containsSemiMixedTypes="0" containsString="0" containsNumber="1" minValue="108.81" maxValue="68169.47"/>
    </cacheField>
    <cacheField name="Revenue (₹)" numFmtId="4">
      <sharedItems containsSemiMixedTypes="0" containsString="0" containsNumber="1" minValue="352.65" maxValue="2288854.19" count="120">
        <n v="933848.86"/>
        <n v="88992.93"/>
        <n v="93391.31"/>
        <n v="83148.66"/>
        <n v="116321.52"/>
        <n v="113357.8"/>
        <n v="1383734.44"/>
        <n v="583892.26"/>
        <n v="73073.39"/>
        <n v="36232.800000000003"/>
        <n v="159604"/>
        <n v="7908.49"/>
        <n v="984510.8"/>
        <n v="23844.799999999999"/>
        <n v="142664.13"/>
        <n v="1434232.35"/>
        <n v="68966.28"/>
        <n v="602578.24"/>
        <n v="9608.2199999999993"/>
        <n v="114398.48"/>
        <n v="1189917.95"/>
        <n v="232668"/>
        <n v="73206.84"/>
        <n v="70396.2"/>
        <n v="1073633.3799999999"/>
        <n v="90179.64"/>
        <n v="623982.5"/>
        <n v="89199.63"/>
        <n v="94460.24"/>
        <n v="115490.76"/>
        <n v="1167.3"/>
        <n v="43129.98"/>
        <n v="675428.8"/>
        <n v="3496.56"/>
        <n v="1052983.82"/>
        <n v="280308.96000000002"/>
        <n v="113656.26"/>
        <n v="19514.16"/>
        <n v="336486.27"/>
        <n v="316557.09999999998"/>
        <n v="128028.78"/>
        <n v="17659.68"/>
        <n v="220239.35"/>
        <n v="218884.14"/>
        <n v="213062.42"/>
        <n v="828980.83"/>
        <n v="1273107"/>
        <n v="140048.85"/>
        <n v="1830534.5"/>
        <n v="77790.16"/>
        <n v="2922.04"/>
        <n v="525152.88"/>
        <n v="124423.03999999999"/>
        <n v="334416.11"/>
        <n v="876414"/>
        <n v="3554.7"/>
        <n v="307739.09999999998"/>
        <n v="80473.52"/>
        <n v="1722967.83"/>
        <n v="15761.9"/>
        <n v="5864.6"/>
        <n v="112001.03"/>
        <n v="10888.92"/>
        <n v="119775.9"/>
        <n v="2288854.19"/>
        <n v="56765.8"/>
        <n v="334059.75"/>
        <n v="28849.48"/>
        <n v="1276805.8799999999"/>
        <n v="199083.15"/>
        <n v="353229.01"/>
        <n v="393.65"/>
        <n v="118819.8"/>
        <n v="3808.35"/>
        <n v="759942.9"/>
        <n v="103853.82"/>
        <n v="894919.48"/>
        <n v="73821.78"/>
        <n v="306596.81"/>
        <n v="1492776.25"/>
        <n v="25075.08"/>
        <n v="58613.22"/>
        <n v="183174.25"/>
        <n v="91462.92"/>
        <n v="200866.56"/>
        <n v="250349.05"/>
        <n v="3199.28"/>
        <n v="879721.38"/>
        <n v="224396.37"/>
        <n v="12053.34"/>
        <n v="1473965.28"/>
        <n v="59136.98"/>
        <n v="3462.73"/>
        <n v="331179.36"/>
        <n v="94365.7"/>
        <n v="127616.61"/>
        <n v="385287.63"/>
        <n v="40354.9"/>
        <n v="1351.04"/>
        <n v="3184.32"/>
        <n v="1348881.92"/>
        <n v="61123.59"/>
        <n v="103128.96000000001"/>
        <n v="2401.85"/>
        <n v="3165.54"/>
        <n v="159582.07999999999"/>
        <n v="127446.12"/>
        <n v="30828.6"/>
        <n v="5751.9"/>
        <n v="352.65"/>
        <n v="107770.8"/>
        <n v="107725.75"/>
        <n v="53658"/>
        <n v="995412.35"/>
        <n v="2628.34"/>
        <n v="30248.959999999999"/>
        <n v="14697.46"/>
        <n v="1363389.4"/>
        <n v="6363.36"/>
        <n v="217961.92"/>
      </sharedItems>
    </cacheField>
    <cacheField name="Cost (₹)" numFmtId="4">
      <sharedItems containsSemiMixedTypes="0" containsString="0" containsNumber="1" minValue="310.33" maxValue="1831083.35"/>
    </cacheField>
    <cacheField name="Profit (₹)" numFmtId="4">
      <sharedItems containsSemiMixedTypes="0" containsString="0" containsNumber="1" minValue="42.32" maxValue="549160.35"/>
    </cacheField>
    <cacheField name="Customer Type" numFmtId="0">
      <sharedItems/>
    </cacheField>
    <cacheField name="Sales Channel" numFmtId="0">
      <sharedItems count="2">
        <s v="Offline"/>
        <s v="Online"/>
      </sharedItems>
    </cacheField>
    <cacheField name="Target Sales (₹)" numFmtId="4">
      <sharedItems containsSemiMixedTypes="0" containsString="0" containsNumber="1" minValue="354.21" maxValue="2390150.75"/>
    </cacheField>
    <cacheField name="Achievement %" numFmtId="2">
      <sharedItems containsSemiMixedTypes="0" containsString="0" containsNumber="1" minValue="80.02" maxValue="117.22"/>
    </cacheField>
    <cacheField name="Growth %" numFmtId="2">
      <sharedItems containsSemiMixedTypes="0" containsString="0" containsNumber="1" minValue="-14.06" maxValue="29.93"/>
    </cacheField>
  </cacheFields>
  <extLst>
    <ext xmlns:x14="http://schemas.microsoft.com/office/spreadsheetml/2009/9/main" uri="{725AE2AE-9491-48be-B2B4-4EB974FC3084}">
      <x14:pivotCacheDefinition pivotCacheId="21035754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itha juvvadi" refreshedDate="46121.851903935189" createdVersion="8" refreshedVersion="8" minRefreshableVersion="3" recordCount="121" xr:uid="{185BB201-3431-432E-BD61-9BEEADE1068E}">
  <cacheSource type="worksheet">
    <worksheetSource ref="M1:M1048576" sheet="Cleaned Data"/>
  </cacheSource>
  <cacheFields count="1">
    <cacheField name="Customer Type" numFmtId="0">
      <sharedItems containsBlank="1" count="3">
        <s v="New"/>
        <s v="Existing"/>
        <m/>
      </sharedItems>
    </cacheField>
  </cacheFields>
  <extLst>
    <ext xmlns:x14="http://schemas.microsoft.com/office/spreadsheetml/2009/9/main" uri="{725AE2AE-9491-48be-B2B4-4EB974FC3084}">
      <x14:pivotCacheDefinition pivotCacheId="810400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s v="Kochi"/>
    <x v="0"/>
    <x v="0"/>
    <s v="Smartphone"/>
    <n v="38"/>
    <n v="24574.97"/>
    <x v="0"/>
    <n v="765756.07"/>
    <n v="168092.79"/>
    <s v="New"/>
    <x v="0"/>
    <n v="831017.79"/>
    <n v="112.37"/>
    <n v="25.97"/>
  </r>
  <r>
    <x v="0"/>
    <x v="1"/>
    <s v="Ahmedabad"/>
    <x v="1"/>
    <x v="1"/>
    <s v="Denim Jeans"/>
    <n v="39"/>
    <n v="2281.87"/>
    <x v="1"/>
    <n v="48946.11"/>
    <n v="40046.82"/>
    <s v="New"/>
    <x v="1"/>
    <n v="109985.32"/>
    <n v="80.91"/>
    <n v="-10.14"/>
  </r>
  <r>
    <x v="0"/>
    <x v="1"/>
    <s v="Ahmedabad"/>
    <x v="2"/>
    <x v="2"/>
    <s v="Mixer"/>
    <n v="29"/>
    <n v="3220.39"/>
    <x v="2"/>
    <n v="74713.05"/>
    <n v="18678.259999999998"/>
    <s v="New"/>
    <x v="0"/>
    <n v="106822.25"/>
    <n v="87.43"/>
    <n v="12.17"/>
  </r>
  <r>
    <x v="0"/>
    <x v="2"/>
    <s v="Delhi"/>
    <x v="0"/>
    <x v="0"/>
    <s v="Smartphone"/>
    <n v="3"/>
    <n v="27716.22"/>
    <x v="3"/>
    <n v="68181.899999999994"/>
    <n v="14966.76"/>
    <s v="New"/>
    <x v="0"/>
    <n v="74915.13"/>
    <n v="110.99"/>
    <n v="-1.1299999999999999"/>
  </r>
  <r>
    <x v="0"/>
    <x v="3"/>
    <s v="Patna"/>
    <x v="3"/>
    <x v="3"/>
    <s v="Standing Desk"/>
    <n v="7"/>
    <n v="16617.36"/>
    <x v="4"/>
    <n v="81425.06"/>
    <n v="34896.46"/>
    <s v="New"/>
    <x v="0"/>
    <n v="138306.03"/>
    <n v="84.1"/>
    <n v="12.17"/>
  </r>
  <r>
    <x v="0"/>
    <x v="0"/>
    <s v="Hyderabad"/>
    <x v="4"/>
    <x v="1"/>
    <s v="Saree"/>
    <n v="46"/>
    <n v="2464.3000000000002"/>
    <x v="5"/>
    <n v="62346.79"/>
    <n v="51011.01"/>
    <s v="Existing"/>
    <x v="0"/>
    <n v="107740.75"/>
    <n v="105.21"/>
    <n v="25.87"/>
  </r>
  <r>
    <x v="0"/>
    <x v="3"/>
    <s v="Ranchi"/>
    <x v="5"/>
    <x v="0"/>
    <s v="Tablet"/>
    <n v="44"/>
    <n v="31448.51"/>
    <x v="6"/>
    <n v="1134662.24"/>
    <n v="249072.2"/>
    <s v="Existing"/>
    <x v="1"/>
    <n v="1298229.8600000001"/>
    <n v="106.59"/>
    <n v="29.3"/>
  </r>
  <r>
    <x v="1"/>
    <x v="0"/>
    <s v="Coimbatore"/>
    <x v="6"/>
    <x v="3"/>
    <s v="Office Chair"/>
    <n v="46"/>
    <n v="12693.31"/>
    <x v="7"/>
    <n v="408724.58"/>
    <n v="175167.68"/>
    <s v="New"/>
    <x v="1"/>
    <n v="707775.52"/>
    <n v="82.5"/>
    <n v="23.68"/>
  </r>
  <r>
    <x v="1"/>
    <x v="3"/>
    <s v="Kolkata"/>
    <x v="4"/>
    <x v="3"/>
    <s v="Bookshelf"/>
    <n v="13"/>
    <n v="5621.03"/>
    <x v="8"/>
    <n v="51151.37"/>
    <n v="21922.02"/>
    <s v="New"/>
    <x v="1"/>
    <n v="90872.2"/>
    <n v="80.41"/>
    <n v="12.51"/>
  </r>
  <r>
    <x v="1"/>
    <x v="2"/>
    <s v="Amritsar"/>
    <x v="7"/>
    <x v="1"/>
    <s v="Jacket"/>
    <n v="8"/>
    <n v="4529.1000000000004"/>
    <x v="9"/>
    <n v="19928.04"/>
    <n v="16304.76"/>
    <s v="Existing"/>
    <x v="1"/>
    <n v="31637.4"/>
    <n v="114.53"/>
    <n v="24.51"/>
  </r>
  <r>
    <x v="1"/>
    <x v="1"/>
    <s v="Ahmedabad"/>
    <x v="7"/>
    <x v="2"/>
    <s v="Mixer"/>
    <n v="40"/>
    <n v="3990.1"/>
    <x v="10"/>
    <n v="127683.2"/>
    <n v="31920.799999999999"/>
    <s v="New"/>
    <x v="1"/>
    <n v="175597.28"/>
    <n v="90.89"/>
    <n v="-3.09"/>
  </r>
  <r>
    <x v="1"/>
    <x v="2"/>
    <s v="Jaipur"/>
    <x v="1"/>
    <x v="4"/>
    <s v="Cooking Oil"/>
    <n v="41"/>
    <n v="192.89"/>
    <x v="11"/>
    <n v="6959.47"/>
    <n v="949.02"/>
    <s v="New"/>
    <x v="1"/>
    <n v="9288.18"/>
    <n v="85.15"/>
    <n v="27.71"/>
  </r>
  <r>
    <x v="1"/>
    <x v="3"/>
    <s v="Patna"/>
    <x v="8"/>
    <x v="0"/>
    <s v="Smartphone"/>
    <n v="37"/>
    <n v="26608.400000000001"/>
    <x v="12"/>
    <n v="807298.86"/>
    <n v="177211.94"/>
    <s v="New"/>
    <x v="1"/>
    <n v="1128631"/>
    <n v="87.23"/>
    <n v="28.73"/>
  </r>
  <r>
    <x v="1"/>
    <x v="1"/>
    <s v="Ahmedabad"/>
    <x v="7"/>
    <x v="4"/>
    <s v="Dry Fruits"/>
    <n v="40"/>
    <n v="596.12"/>
    <x v="13"/>
    <n v="20983.42"/>
    <n v="2861.38"/>
    <s v="Existing"/>
    <x v="1"/>
    <n v="27390.68"/>
    <n v="87.05"/>
    <n v="4.53"/>
  </r>
  <r>
    <x v="1"/>
    <x v="3"/>
    <s v="Ranchi"/>
    <x v="2"/>
    <x v="3"/>
    <s v="Bookshelf"/>
    <n v="21"/>
    <n v="6793.53"/>
    <x v="14"/>
    <n v="99864.89"/>
    <n v="42799.24"/>
    <s v="New"/>
    <x v="1"/>
    <n v="147416.87"/>
    <n v="96.78"/>
    <n v="29.93"/>
  </r>
  <r>
    <x v="1"/>
    <x v="1"/>
    <s v="Surat"/>
    <x v="9"/>
    <x v="2"/>
    <s v="Washing Machine"/>
    <n v="45"/>
    <n v="31871.83"/>
    <x v="15"/>
    <n v="1147385.8799999999"/>
    <n v="286846.46999999997"/>
    <s v="Existing"/>
    <x v="1"/>
    <n v="1303758.1399999999"/>
    <n v="110.01"/>
    <n v="15.94"/>
  </r>
  <r>
    <x v="1"/>
    <x v="3"/>
    <s v="Guwahati"/>
    <x v="9"/>
    <x v="1"/>
    <s v="Jacket"/>
    <n v="17"/>
    <n v="4056.84"/>
    <x v="16"/>
    <n v="37931.449999999997"/>
    <n v="31034.83"/>
    <s v="Existing"/>
    <x v="1"/>
    <n v="86190.57"/>
    <n v="80.02"/>
    <n v="23.4"/>
  </r>
  <r>
    <x v="1"/>
    <x v="0"/>
    <s v="Kochi"/>
    <x v="9"/>
    <x v="0"/>
    <s v="Smartphone"/>
    <n v="22"/>
    <n v="27389.919999999998"/>
    <x v="17"/>
    <n v="494114.16"/>
    <n v="108464.08"/>
    <s v="Existing"/>
    <x v="1"/>
    <n v="576500.03"/>
    <n v="104.52"/>
    <n v="20.43"/>
  </r>
  <r>
    <x v="1"/>
    <x v="2"/>
    <s v="Delhi"/>
    <x v="10"/>
    <x v="4"/>
    <s v="Organic Tea"/>
    <n v="27"/>
    <n v="355.86"/>
    <x v="18"/>
    <n v="8455.23"/>
    <n v="1152.99"/>
    <s v="New"/>
    <x v="1"/>
    <n v="8399.94"/>
    <n v="114.38"/>
    <n v="17.77"/>
  </r>
  <r>
    <x v="1"/>
    <x v="2"/>
    <s v="Delhi"/>
    <x v="5"/>
    <x v="1"/>
    <s v="Jacket"/>
    <n v="28"/>
    <n v="4085.66"/>
    <x v="19"/>
    <n v="62919.16"/>
    <n v="51479.32"/>
    <s v="Existing"/>
    <x v="0"/>
    <n v="109738.66"/>
    <n v="104.25"/>
    <n v="18.97"/>
  </r>
  <r>
    <x v="1"/>
    <x v="2"/>
    <s v="Delhi"/>
    <x v="2"/>
    <x v="2"/>
    <s v="Air Conditioner"/>
    <n v="31"/>
    <n v="38384.449999999997"/>
    <x v="20"/>
    <n v="951934.36"/>
    <n v="237983.59"/>
    <s v="New"/>
    <x v="1"/>
    <n v="1131601.69"/>
    <n v="105.15"/>
    <n v="23.78"/>
  </r>
  <r>
    <x v="2"/>
    <x v="3"/>
    <s v="Patna"/>
    <x v="6"/>
    <x v="3"/>
    <s v="Sofa"/>
    <n v="6"/>
    <n v="38778"/>
    <x v="21"/>
    <n v="162867.6"/>
    <n v="69800.399999999994"/>
    <s v="New"/>
    <x v="0"/>
    <n v="206754.78"/>
    <n v="112.53"/>
    <n v="18.25"/>
  </r>
  <r>
    <x v="2"/>
    <x v="3"/>
    <s v="Ranchi"/>
    <x v="7"/>
    <x v="0"/>
    <s v="Smartphone"/>
    <n v="3"/>
    <n v="24402.28"/>
    <x v="22"/>
    <n v="60029.61"/>
    <n v="13177.23"/>
    <s v="Existing"/>
    <x v="1"/>
    <n v="65071.86"/>
    <n v="112.5"/>
    <n v="24.93"/>
  </r>
  <r>
    <x v="2"/>
    <x v="2"/>
    <s v="Delhi"/>
    <x v="8"/>
    <x v="1"/>
    <s v="Denim Jeans"/>
    <n v="37"/>
    <n v="1902.6"/>
    <x v="23"/>
    <n v="38717.910000000003"/>
    <n v="31678.29"/>
    <s v="New"/>
    <x v="1"/>
    <n v="82731.11"/>
    <n v="85.09"/>
    <n v="-4.5199999999999996"/>
  </r>
  <r>
    <x v="2"/>
    <x v="3"/>
    <s v="Ranchi"/>
    <x v="11"/>
    <x v="0"/>
    <s v="Smartphone"/>
    <n v="41"/>
    <n v="26186.18"/>
    <x v="24"/>
    <n v="880379.37"/>
    <n v="193254.01"/>
    <s v="New"/>
    <x v="0"/>
    <n v="961879.44"/>
    <n v="111.62"/>
    <n v="-4.88"/>
  </r>
  <r>
    <x v="2"/>
    <x v="0"/>
    <s v="Chennai"/>
    <x v="7"/>
    <x v="1"/>
    <s v="Saree"/>
    <n v="36"/>
    <n v="2504.9899999999998"/>
    <x v="25"/>
    <n v="49598.8"/>
    <n v="40580.839999999997"/>
    <s v="New"/>
    <x v="1"/>
    <n v="93297.98"/>
    <n v="96.66"/>
    <n v="-9.7100000000000009"/>
  </r>
  <r>
    <x v="2"/>
    <x v="3"/>
    <s v="Bhubaneswar"/>
    <x v="3"/>
    <x v="3"/>
    <s v="Office Chair"/>
    <n v="50"/>
    <n v="12479.65"/>
    <x v="26"/>
    <n v="436787.75"/>
    <n v="187194.75"/>
    <s v="Existing"/>
    <x v="1"/>
    <n v="761449.29"/>
    <n v="81.95"/>
    <n v="-4.3499999999999996"/>
  </r>
  <r>
    <x v="2"/>
    <x v="0"/>
    <s v="Bangalore"/>
    <x v="9"/>
    <x v="1"/>
    <s v="Sports Shoes"/>
    <n v="27"/>
    <n v="3303.69"/>
    <x v="27"/>
    <n v="49059.8"/>
    <n v="40139.83"/>
    <s v="New"/>
    <x v="0"/>
    <n v="94760.42"/>
    <n v="94.13"/>
    <n v="26.11"/>
  </r>
  <r>
    <x v="2"/>
    <x v="2"/>
    <s v="Chandigarh"/>
    <x v="8"/>
    <x v="1"/>
    <s v="Denim Jeans"/>
    <n v="49"/>
    <n v="1927.76"/>
    <x v="28"/>
    <n v="51953.13"/>
    <n v="42507.11"/>
    <s v="Existing"/>
    <x v="1"/>
    <n v="80583.27"/>
    <n v="117.22"/>
    <n v="18.62"/>
  </r>
  <r>
    <x v="3"/>
    <x v="3"/>
    <s v="Kolkata"/>
    <x v="5"/>
    <x v="1"/>
    <s v="Sports Shoes"/>
    <n v="33"/>
    <n v="3499.72"/>
    <x v="29"/>
    <n v="63519.92"/>
    <n v="51970.84"/>
    <s v="Existing"/>
    <x v="1"/>
    <n v="103495.51"/>
    <n v="111.59"/>
    <n v="28.67"/>
  </r>
  <r>
    <x v="3"/>
    <x v="0"/>
    <s v="Hyderabad"/>
    <x v="0"/>
    <x v="4"/>
    <s v="Basmati Rice"/>
    <n v="9"/>
    <n v="129.69999999999999"/>
    <x v="30"/>
    <n v="1027.22"/>
    <n v="140.08000000000001"/>
    <s v="Existing"/>
    <x v="1"/>
    <n v="1358.56"/>
    <n v="85.92"/>
    <n v="21.34"/>
  </r>
  <r>
    <x v="3"/>
    <x v="2"/>
    <s v="Jaipur"/>
    <x v="8"/>
    <x v="0"/>
    <s v="Headphones"/>
    <n v="9"/>
    <n v="4792.22"/>
    <x v="31"/>
    <n v="35366.58"/>
    <n v="7763.4"/>
    <s v="New"/>
    <x v="0"/>
    <n v="45763.91"/>
    <n v="94.24"/>
    <n v="12.3"/>
  </r>
  <r>
    <x v="3"/>
    <x v="2"/>
    <s v="Delhi"/>
    <x v="7"/>
    <x v="3"/>
    <s v="Standing Desk"/>
    <n v="40"/>
    <n v="16885.72"/>
    <x v="32"/>
    <n v="472800.16"/>
    <n v="202628.64"/>
    <s v="New"/>
    <x v="0"/>
    <n v="754983.19"/>
    <n v="89.46"/>
    <n v="10.38"/>
  </r>
  <r>
    <x v="3"/>
    <x v="0"/>
    <s v="Kochi"/>
    <x v="8"/>
    <x v="4"/>
    <s v="Mixed Spices"/>
    <n v="17"/>
    <n v="205.68"/>
    <x v="33"/>
    <n v="3076.97"/>
    <n v="419.59"/>
    <s v="Existing"/>
    <x v="0"/>
    <n v="4227.79"/>
    <n v="82.7"/>
    <n v="2.97"/>
  </r>
  <r>
    <x v="3"/>
    <x v="1"/>
    <s v="Surat"/>
    <x v="9"/>
    <x v="2"/>
    <s v="Washing Machine"/>
    <n v="31"/>
    <n v="33967.22"/>
    <x v="34"/>
    <n v="842387.06"/>
    <n v="210596.76"/>
    <s v="Existing"/>
    <x v="0"/>
    <n v="1229014.44"/>
    <n v="85.68"/>
    <n v="-10.81"/>
  </r>
  <r>
    <x v="3"/>
    <x v="1"/>
    <s v="Nagpur"/>
    <x v="6"/>
    <x v="0"/>
    <s v="Smartwatch"/>
    <n v="36"/>
    <n v="7786.36"/>
    <x v="35"/>
    <n v="229853.35"/>
    <n v="50455.61"/>
    <s v="Existing"/>
    <x v="1"/>
    <n v="317261.74"/>
    <n v="88.35"/>
    <n v="-12.94"/>
  </r>
  <r>
    <x v="3"/>
    <x v="1"/>
    <s v="Nagpur"/>
    <x v="8"/>
    <x v="3"/>
    <s v="Standing Desk"/>
    <n v="6"/>
    <n v="18942.71"/>
    <x v="36"/>
    <n v="79559.38"/>
    <n v="34096.879999999997"/>
    <s v="Existing"/>
    <x v="1"/>
    <n v="119233.02"/>
    <n v="95.32"/>
    <n v="11.24"/>
  </r>
  <r>
    <x v="3"/>
    <x v="2"/>
    <s v="Delhi"/>
    <x v="4"/>
    <x v="1"/>
    <s v="Denim Jeans"/>
    <n v="9"/>
    <n v="2168.2399999999998"/>
    <x v="37"/>
    <n v="10732.79"/>
    <n v="8781.3700000000008"/>
    <s v="New"/>
    <x v="0"/>
    <n v="16835.12"/>
    <n v="115.91"/>
    <n v="-10.78"/>
  </r>
  <r>
    <x v="4"/>
    <x v="2"/>
    <s v="Lucknow"/>
    <x v="0"/>
    <x v="3"/>
    <s v="Standing Desk"/>
    <n v="17"/>
    <n v="19793.310000000001"/>
    <x v="38"/>
    <n v="235540.39"/>
    <n v="100945.88"/>
    <s v="New"/>
    <x v="1"/>
    <n v="303753.32"/>
    <n v="110.78"/>
    <n v="1.1200000000000001"/>
  </r>
  <r>
    <x v="4"/>
    <x v="2"/>
    <s v="Amritsar"/>
    <x v="5"/>
    <x v="0"/>
    <s v="Smartwatch"/>
    <n v="38"/>
    <n v="8330.4500000000007"/>
    <x v="39"/>
    <n v="259576.82"/>
    <n v="56980.28"/>
    <s v="Existing"/>
    <x v="0"/>
    <n v="294937.40999999997"/>
    <n v="107.33"/>
    <n v="17.23"/>
  </r>
  <r>
    <x v="4"/>
    <x v="0"/>
    <s v="Kochi"/>
    <x v="11"/>
    <x v="3"/>
    <s v="Bookshelf"/>
    <n v="22"/>
    <n v="5819.49"/>
    <x v="40"/>
    <n v="89620.15"/>
    <n v="38408.629999999997"/>
    <s v="Existing"/>
    <x v="1"/>
    <n v="135281.73000000001"/>
    <n v="94.64"/>
    <n v="-6.4"/>
  </r>
  <r>
    <x v="4"/>
    <x v="2"/>
    <s v="Jaipur"/>
    <x v="7"/>
    <x v="3"/>
    <s v="Bookshelf"/>
    <n v="3"/>
    <n v="5886.56"/>
    <x v="41"/>
    <n v="12361.78"/>
    <n v="5297.9"/>
    <s v="New"/>
    <x v="0"/>
    <n v="17542.87"/>
    <n v="100.67"/>
    <n v="4.38"/>
  </r>
  <r>
    <x v="4"/>
    <x v="0"/>
    <s v="Bangalore"/>
    <x v="8"/>
    <x v="2"/>
    <s v="Refrigerator"/>
    <n v="5"/>
    <n v="44047.87"/>
    <x v="42"/>
    <n v="176191.48"/>
    <n v="44047.87"/>
    <s v="New"/>
    <x v="0"/>
    <n v="197764.95"/>
    <n v="111.36"/>
    <n v="25.06"/>
  </r>
  <r>
    <x v="4"/>
    <x v="3"/>
    <s v="Kolkata"/>
    <x v="10"/>
    <x v="3"/>
    <s v="Office Chair"/>
    <n v="18"/>
    <n v="12160.23"/>
    <x v="43"/>
    <n v="153218.9"/>
    <n v="65665.240000000005"/>
    <s v="Existing"/>
    <x v="1"/>
    <n v="218462.22"/>
    <n v="100.19"/>
    <n v="-5.57"/>
  </r>
  <r>
    <x v="4"/>
    <x v="1"/>
    <s v="Surat"/>
    <x v="9"/>
    <x v="0"/>
    <s v="Smartwatch"/>
    <n v="29"/>
    <n v="7346.98"/>
    <x v="44"/>
    <n v="174711.18"/>
    <n v="38351.24"/>
    <s v="New"/>
    <x v="0"/>
    <n v="232945.19"/>
    <n v="91.46"/>
    <n v="-12.04"/>
  </r>
  <r>
    <x v="4"/>
    <x v="0"/>
    <s v="Kochi"/>
    <x v="1"/>
    <x v="2"/>
    <s v="Air Conditioner"/>
    <n v="19"/>
    <n v="43630.57"/>
    <x v="45"/>
    <n v="663184.66"/>
    <n v="165796.17000000001"/>
    <s v="Existing"/>
    <x v="1"/>
    <n v="1028912.6"/>
    <n v="80.569999999999993"/>
    <n v="14.62"/>
  </r>
  <r>
    <x v="4"/>
    <x v="3"/>
    <s v="Patna"/>
    <x v="3"/>
    <x v="2"/>
    <s v="Refrigerator"/>
    <n v="33"/>
    <n v="38579"/>
    <x v="46"/>
    <n v="1018485.6"/>
    <n v="254621.4"/>
    <s v="Existing"/>
    <x v="0"/>
    <n v="1101292.17"/>
    <n v="115.6"/>
    <n v="1.59"/>
  </r>
  <r>
    <x v="4"/>
    <x v="2"/>
    <s v="Amritsar"/>
    <x v="3"/>
    <x v="2"/>
    <s v="Mixer"/>
    <n v="43"/>
    <n v="3256.95"/>
    <x v="47"/>
    <n v="112039.08"/>
    <n v="28009.77"/>
    <s v="Existing"/>
    <x v="0"/>
    <n v="167671.65"/>
    <n v="83.53"/>
    <n v="17.45"/>
  </r>
  <r>
    <x v="5"/>
    <x v="1"/>
    <s v="Mumbai"/>
    <x v="10"/>
    <x v="3"/>
    <s v="Sofa"/>
    <n v="50"/>
    <n v="36610.69"/>
    <x v="48"/>
    <n v="1281374.1499999999"/>
    <n v="549160.35"/>
    <s v="New"/>
    <x v="0"/>
    <n v="1905205.47"/>
    <n v="96.08"/>
    <n v="27.42"/>
  </r>
  <r>
    <x v="5"/>
    <x v="3"/>
    <s v="Kolkata"/>
    <x v="4"/>
    <x v="1"/>
    <s v="Saree"/>
    <n v="28"/>
    <n v="2778.22"/>
    <x v="49"/>
    <n v="42784.59"/>
    <n v="35005.57"/>
    <s v="New"/>
    <x v="0"/>
    <n v="67022.55"/>
    <n v="116.07"/>
    <n v="-2.7"/>
  </r>
  <r>
    <x v="5"/>
    <x v="0"/>
    <s v="Kochi"/>
    <x v="10"/>
    <x v="4"/>
    <s v="Basmati Rice"/>
    <n v="22"/>
    <n v="132.82"/>
    <x v="50"/>
    <n v="2571.4"/>
    <n v="350.64"/>
    <s v="Existing"/>
    <x v="0"/>
    <n v="3336.52"/>
    <n v="87.58"/>
    <n v="-0.94"/>
  </r>
  <r>
    <x v="5"/>
    <x v="0"/>
    <s v="Hyderabad"/>
    <x v="7"/>
    <x v="0"/>
    <s v="Smartphone"/>
    <n v="21"/>
    <n v="25007.279999999999"/>
    <x v="51"/>
    <n v="430625.36"/>
    <n v="94527.52"/>
    <s v="New"/>
    <x v="1"/>
    <n v="638194.37"/>
    <n v="82.29"/>
    <n v="10.52"/>
  </r>
  <r>
    <x v="5"/>
    <x v="2"/>
    <s v="Chandigarh"/>
    <x v="9"/>
    <x v="1"/>
    <s v="Jacket"/>
    <n v="32"/>
    <n v="3888.22"/>
    <x v="52"/>
    <n v="68432.67"/>
    <n v="55990.37"/>
    <s v="Existing"/>
    <x v="1"/>
    <n v="128395.91"/>
    <n v="96.91"/>
    <n v="-0.85"/>
  </r>
  <r>
    <x v="5"/>
    <x v="3"/>
    <s v="Patna"/>
    <x v="11"/>
    <x v="3"/>
    <s v="Office Chair"/>
    <n v="29"/>
    <n v="11531.59"/>
    <x v="53"/>
    <n v="234091.28"/>
    <n v="100324.83"/>
    <s v="Existing"/>
    <x v="0"/>
    <n v="329252.27"/>
    <n v="101.57"/>
    <n v="7.24"/>
  </r>
  <r>
    <x v="5"/>
    <x v="2"/>
    <s v="Jaipur"/>
    <x v="1"/>
    <x v="0"/>
    <s v="Tablet"/>
    <n v="28"/>
    <n v="31300.5"/>
    <x v="54"/>
    <n v="718659.48"/>
    <n v="157754.51999999999"/>
    <s v="Existing"/>
    <x v="0"/>
    <n v="785327.72"/>
    <n v="111.6"/>
    <n v="-14.06"/>
  </r>
  <r>
    <x v="5"/>
    <x v="1"/>
    <s v="Mumbai"/>
    <x v="4"/>
    <x v="4"/>
    <s v="Basmati Rice"/>
    <n v="30"/>
    <n v="118.49"/>
    <x v="55"/>
    <n v="3128.14"/>
    <n v="426.56"/>
    <s v="New"/>
    <x v="1"/>
    <n v="3055.14"/>
    <n v="116.35"/>
    <n v="-6.31"/>
  </r>
  <r>
    <x v="5"/>
    <x v="0"/>
    <s v="Hyderabad"/>
    <x v="7"/>
    <x v="0"/>
    <s v="Smartwatch"/>
    <n v="34"/>
    <n v="9051.15"/>
    <x v="56"/>
    <n v="252346.06"/>
    <n v="55393.04"/>
    <s v="New"/>
    <x v="0"/>
    <n v="314669.06"/>
    <n v="97.8"/>
    <n v="27.7"/>
  </r>
  <r>
    <x v="5"/>
    <x v="1"/>
    <s v="Pune"/>
    <x v="3"/>
    <x v="1"/>
    <s v="Saree"/>
    <n v="31"/>
    <n v="2595.92"/>
    <x v="57"/>
    <n v="44260.44"/>
    <n v="36213.08"/>
    <s v="Existing"/>
    <x v="0"/>
    <n v="100483.47"/>
    <n v="80.09"/>
    <n v="9.77"/>
  </r>
  <r>
    <x v="6"/>
    <x v="0"/>
    <s v="Chennai"/>
    <x v="11"/>
    <x v="3"/>
    <s v="Sofa"/>
    <n v="47"/>
    <n v="36658.89"/>
    <x v="58"/>
    <n v="1206077.48"/>
    <n v="516890.35"/>
    <s v="Existing"/>
    <x v="1"/>
    <n v="2038359.41"/>
    <n v="84.53"/>
    <n v="-1.67"/>
  </r>
  <r>
    <x v="6"/>
    <x v="0"/>
    <s v="Coimbatore"/>
    <x v="5"/>
    <x v="1"/>
    <s v="Denim Jeans"/>
    <n v="7"/>
    <n v="2251.6999999999998"/>
    <x v="59"/>
    <n v="8669.0499999999993"/>
    <n v="7092.85"/>
    <s v="New"/>
    <x v="0"/>
    <n v="18369.61"/>
    <n v="85.8"/>
    <n v="-13.5"/>
  </r>
  <r>
    <x v="6"/>
    <x v="3"/>
    <s v="Kolkata"/>
    <x v="11"/>
    <x v="4"/>
    <s v="Cooking Oil"/>
    <n v="35"/>
    <n v="167.56"/>
    <x v="60"/>
    <n v="5160.8500000000004"/>
    <n v="703.75"/>
    <s v="Existing"/>
    <x v="0"/>
    <n v="6356.19"/>
    <n v="92.27"/>
    <n v="22.01"/>
  </r>
  <r>
    <x v="6"/>
    <x v="3"/>
    <s v="Kolkata"/>
    <x v="10"/>
    <x v="0"/>
    <s v="Headphones"/>
    <n v="23"/>
    <n v="4869.6099999999997"/>
    <x v="61"/>
    <n v="91840.84"/>
    <n v="20160.189999999999"/>
    <s v="Existing"/>
    <x v="0"/>
    <n v="122359.28"/>
    <n v="91.53"/>
    <n v="8.01"/>
  </r>
  <r>
    <x v="6"/>
    <x v="0"/>
    <s v="Coimbatore"/>
    <x v="6"/>
    <x v="4"/>
    <s v="Organic Tea"/>
    <n v="28"/>
    <n v="388.89"/>
    <x v="62"/>
    <n v="9582.25"/>
    <n v="1306.67"/>
    <s v="New"/>
    <x v="0"/>
    <n v="11820.45"/>
    <n v="92.12"/>
    <n v="8.58"/>
  </r>
  <r>
    <x v="6"/>
    <x v="3"/>
    <s v="Ranchi"/>
    <x v="6"/>
    <x v="1"/>
    <s v="Sports Shoes"/>
    <n v="30"/>
    <n v="3992.53"/>
    <x v="63"/>
    <n v="65876.740000000005"/>
    <n v="53899.16"/>
    <s v="New"/>
    <x v="1"/>
    <n v="143019.16"/>
    <n v="83.75"/>
    <n v="17.59"/>
  </r>
  <r>
    <x v="6"/>
    <x v="2"/>
    <s v="Delhi"/>
    <x v="6"/>
    <x v="2"/>
    <s v="Refrigerator"/>
    <n v="49"/>
    <n v="46711.31"/>
    <x v="64"/>
    <n v="1831083.35"/>
    <n v="457770.84"/>
    <s v="New"/>
    <x v="0"/>
    <n v="2390150.75"/>
    <n v="95.76"/>
    <n v="-5.38"/>
  </r>
  <r>
    <x v="7"/>
    <x v="0"/>
    <s v="Bangalore"/>
    <x v="3"/>
    <x v="1"/>
    <s v="Jacket"/>
    <n v="14"/>
    <n v="4054.7"/>
    <x v="65"/>
    <n v="31221.19"/>
    <n v="25544.61"/>
    <s v="Existing"/>
    <x v="0"/>
    <n v="54569.11"/>
    <n v="104.03"/>
    <n v="27.8"/>
  </r>
  <r>
    <x v="7"/>
    <x v="2"/>
    <s v="Amritsar"/>
    <x v="10"/>
    <x v="3"/>
    <s v="Wardrobe"/>
    <n v="15"/>
    <n v="22270.65"/>
    <x v="66"/>
    <n v="233841.82"/>
    <n v="100217.93"/>
    <s v="Existing"/>
    <x v="1"/>
    <n v="385345.59"/>
    <n v="86.69"/>
    <n v="-7.82"/>
  </r>
  <r>
    <x v="7"/>
    <x v="2"/>
    <s v="Jaipur"/>
    <x v="7"/>
    <x v="1"/>
    <s v="Formal Shirt"/>
    <n v="22"/>
    <n v="1311.34"/>
    <x v="67"/>
    <n v="15867.21"/>
    <n v="12982.27"/>
    <s v="Existing"/>
    <x v="1"/>
    <n v="33075.71"/>
    <n v="87.22"/>
    <n v="9.83"/>
  </r>
  <r>
    <x v="7"/>
    <x v="0"/>
    <s v="Kochi"/>
    <x v="0"/>
    <x v="2"/>
    <s v="Washing Machine"/>
    <n v="36"/>
    <n v="35466.83"/>
    <x v="68"/>
    <n v="1021444.7"/>
    <n v="255361.18"/>
    <s v="Existing"/>
    <x v="1"/>
    <n v="1288078.1200000001"/>
    <n v="99.12"/>
    <n v="18.39"/>
  </r>
  <r>
    <x v="7"/>
    <x v="0"/>
    <s v="Chennai"/>
    <x v="2"/>
    <x v="3"/>
    <s v="Wardrobe"/>
    <n v="9"/>
    <n v="22120.35"/>
    <x v="69"/>
    <n v="139358.20000000001"/>
    <n v="59724.95"/>
    <s v="Existing"/>
    <x v="0"/>
    <n v="189113.58"/>
    <n v="105.27"/>
    <n v="26.55"/>
  </r>
  <r>
    <x v="7"/>
    <x v="1"/>
    <s v="Nagpur"/>
    <x v="5"/>
    <x v="2"/>
    <s v="Microwave"/>
    <n v="37"/>
    <n v="9546.73"/>
    <x v="70"/>
    <n v="282583.21000000002"/>
    <n v="70645.8"/>
    <s v="Existing"/>
    <x v="0"/>
    <n v="321573.67"/>
    <n v="109.84"/>
    <n v="-11.93"/>
  </r>
  <r>
    <x v="7"/>
    <x v="1"/>
    <s v="Ahmedabad"/>
    <x v="5"/>
    <x v="4"/>
    <s v="Organic Tea"/>
    <n v="1"/>
    <n v="393.65"/>
    <x v="71"/>
    <n v="346.41"/>
    <n v="47.24"/>
    <s v="Existing"/>
    <x v="0"/>
    <n v="441.3"/>
    <n v="89.2"/>
    <n v="-7.89"/>
  </r>
  <r>
    <x v="7"/>
    <x v="1"/>
    <s v="Nagpur"/>
    <x v="7"/>
    <x v="1"/>
    <s v="Saree"/>
    <n v="44"/>
    <n v="2700.45"/>
    <x v="72"/>
    <n v="65350.89"/>
    <n v="53468.91"/>
    <s v="Existing"/>
    <x v="0"/>
    <n v="106298.67"/>
    <n v="111.78"/>
    <n v="4.5599999999999996"/>
  </r>
  <r>
    <x v="7"/>
    <x v="1"/>
    <s v="Pune"/>
    <x v="1"/>
    <x v="4"/>
    <s v="Basmati Rice"/>
    <n v="35"/>
    <n v="108.81"/>
    <x v="73"/>
    <n v="3351.35"/>
    <n v="457"/>
    <s v="Existing"/>
    <x v="1"/>
    <n v="3364.98"/>
    <n v="113.18"/>
    <n v="4.29"/>
  </r>
  <r>
    <x v="7"/>
    <x v="2"/>
    <s v="Chandigarh"/>
    <x v="10"/>
    <x v="3"/>
    <s v="Standing Desk"/>
    <n v="45"/>
    <n v="16887.62"/>
    <x v="74"/>
    <n v="531960.03"/>
    <n v="227982.87"/>
    <s v="New"/>
    <x v="1"/>
    <n v="772061.83"/>
    <n v="98.43"/>
    <n v="-0.11"/>
  </r>
  <r>
    <x v="8"/>
    <x v="2"/>
    <s v="Jaipur"/>
    <x v="1"/>
    <x v="2"/>
    <s v="Washing Machine"/>
    <n v="3"/>
    <n v="34617.94"/>
    <x v="75"/>
    <n v="83083.06"/>
    <n v="20770.759999999998"/>
    <s v="Existing"/>
    <x v="0"/>
    <n v="115001.1"/>
    <n v="90.31"/>
    <n v="-13.6"/>
  </r>
  <r>
    <x v="8"/>
    <x v="2"/>
    <s v="Amritsar"/>
    <x v="0"/>
    <x v="0"/>
    <s v="Tablet"/>
    <n v="28"/>
    <n v="31961.41"/>
    <x v="76"/>
    <n v="733833.97"/>
    <n v="161085.51"/>
    <s v="New"/>
    <x v="0"/>
    <n v="765210.62"/>
    <n v="116.95"/>
    <n v="3.9"/>
  </r>
  <r>
    <x v="8"/>
    <x v="0"/>
    <s v="Hyderabad"/>
    <x v="8"/>
    <x v="0"/>
    <s v="Headphones"/>
    <n v="18"/>
    <n v="4101.21"/>
    <x v="77"/>
    <n v="60533.86"/>
    <n v="13287.92"/>
    <s v="New"/>
    <x v="0"/>
    <n v="83342.350000000006"/>
    <n v="88.58"/>
    <n v="-9.32"/>
  </r>
  <r>
    <x v="8"/>
    <x v="0"/>
    <s v="Chennai"/>
    <x v="11"/>
    <x v="0"/>
    <s v="Smartphone"/>
    <n v="13"/>
    <n v="23584.37"/>
    <x v="78"/>
    <n v="251409.38"/>
    <n v="55187.43"/>
    <s v="New"/>
    <x v="1"/>
    <n v="282332.26"/>
    <n v="108.59"/>
    <n v="19.78"/>
  </r>
  <r>
    <x v="8"/>
    <x v="2"/>
    <s v="Jaipur"/>
    <x v="5"/>
    <x v="2"/>
    <s v="Refrigerator"/>
    <n v="35"/>
    <n v="42650.75"/>
    <x v="79"/>
    <n v="1194221"/>
    <n v="298555.25"/>
    <s v="New"/>
    <x v="1"/>
    <n v="1578425.42"/>
    <n v="94.57"/>
    <n v="13.02"/>
  </r>
  <r>
    <x v="8"/>
    <x v="1"/>
    <s v="Pune"/>
    <x v="4"/>
    <x v="3"/>
    <s v="Bookshelf"/>
    <n v="4"/>
    <n v="6268.77"/>
    <x v="80"/>
    <n v="17552.560000000001"/>
    <n v="7522.52"/>
    <s v="New"/>
    <x v="0"/>
    <n v="21887.19"/>
    <n v="114.57"/>
    <n v="11.29"/>
  </r>
  <r>
    <x v="8"/>
    <x v="3"/>
    <s v="Kolkata"/>
    <x v="7"/>
    <x v="3"/>
    <s v="Bookshelf"/>
    <n v="9"/>
    <n v="6512.58"/>
    <x v="81"/>
    <n v="41029.25"/>
    <n v="17583.97"/>
    <s v="New"/>
    <x v="1"/>
    <n v="60986.96"/>
    <n v="96.11"/>
    <n v="20.010000000000002"/>
  </r>
  <r>
    <x v="8"/>
    <x v="2"/>
    <s v="Chandigarh"/>
    <x v="7"/>
    <x v="2"/>
    <s v="Mixer"/>
    <n v="49"/>
    <n v="3738.25"/>
    <x v="82"/>
    <n v="146539.4"/>
    <n v="36634.85"/>
    <s v="Existing"/>
    <x v="1"/>
    <n v="211610.88"/>
    <n v="86.56"/>
    <n v="-7.12"/>
  </r>
  <r>
    <x v="8"/>
    <x v="1"/>
    <s v="Pune"/>
    <x v="2"/>
    <x v="3"/>
    <s v="Wardrobe"/>
    <n v="4"/>
    <n v="22865.73"/>
    <x v="83"/>
    <n v="64024.04"/>
    <n v="27438.880000000001"/>
    <s v="New"/>
    <x v="0"/>
    <n v="82621.72"/>
    <n v="110.7"/>
    <n v="5.91"/>
  </r>
  <r>
    <x v="8"/>
    <x v="0"/>
    <s v="Kochi"/>
    <x v="2"/>
    <x v="3"/>
    <s v="Office Chair"/>
    <n v="17"/>
    <n v="11815.68"/>
    <x v="84"/>
    <n v="140606.59"/>
    <n v="60259.97"/>
    <s v="Existing"/>
    <x v="1"/>
    <n v="239173.04"/>
    <n v="83.98"/>
    <n v="23.36"/>
  </r>
  <r>
    <x v="9"/>
    <x v="2"/>
    <s v="Lucknow"/>
    <x v="0"/>
    <x v="2"/>
    <s v="Washing Machine"/>
    <n v="7"/>
    <n v="35764.15"/>
    <x v="85"/>
    <n v="200279.24"/>
    <n v="50069.81"/>
    <s v="Existing"/>
    <x v="1"/>
    <n v="228101.96"/>
    <n v="109.75"/>
    <n v="19.309999999999999"/>
  </r>
  <r>
    <x v="9"/>
    <x v="3"/>
    <s v="Guwahati"/>
    <x v="11"/>
    <x v="4"/>
    <s v="Basmati Rice"/>
    <n v="29"/>
    <n v="110.32"/>
    <x v="86"/>
    <n v="2815.37"/>
    <n v="383.91"/>
    <s v="Existing"/>
    <x v="1"/>
    <n v="3067.11"/>
    <n v="104.31"/>
    <n v="-0.61"/>
  </r>
  <r>
    <x v="9"/>
    <x v="1"/>
    <s v="Ahmedabad"/>
    <x v="4"/>
    <x v="0"/>
    <s v="Tablet"/>
    <n v="29"/>
    <n v="30335.22"/>
    <x v="87"/>
    <n v="721371.53"/>
    <n v="158349.85"/>
    <s v="New"/>
    <x v="0"/>
    <n v="782724.93"/>
    <n v="112.39"/>
    <n v="15.86"/>
  </r>
  <r>
    <x v="9"/>
    <x v="2"/>
    <s v="Amritsar"/>
    <x v="11"/>
    <x v="3"/>
    <s v="Wardrobe"/>
    <n v="9"/>
    <n v="24932.93"/>
    <x v="88"/>
    <n v="157077.46"/>
    <n v="67318.91"/>
    <s v="New"/>
    <x v="1"/>
    <n v="223905.13"/>
    <n v="100.22"/>
    <n v="-7.9"/>
  </r>
  <r>
    <x v="9"/>
    <x v="0"/>
    <s v="Hyderabad"/>
    <x v="2"/>
    <x v="4"/>
    <s v="Organic Tea"/>
    <n v="34"/>
    <n v="354.51"/>
    <x v="89"/>
    <n v="10606.94"/>
    <n v="1446.4"/>
    <s v="New"/>
    <x v="1"/>
    <n v="10554.03"/>
    <n v="114.21"/>
    <n v="-14.05"/>
  </r>
  <r>
    <x v="9"/>
    <x v="3"/>
    <s v="Guwahati"/>
    <x v="5"/>
    <x v="2"/>
    <s v="Refrigerator"/>
    <n v="36"/>
    <n v="40943.480000000003"/>
    <x v="90"/>
    <n v="1179172.22"/>
    <n v="294793.06"/>
    <s v="New"/>
    <x v="1"/>
    <n v="1408795.92"/>
    <n v="104.63"/>
    <n v="25.04"/>
  </r>
  <r>
    <x v="9"/>
    <x v="3"/>
    <s v="Patna"/>
    <x v="0"/>
    <x v="0"/>
    <s v="Headphones"/>
    <n v="14"/>
    <n v="4224.07"/>
    <x v="91"/>
    <n v="48492.32"/>
    <n v="10644.66"/>
    <s v="Existing"/>
    <x v="1"/>
    <n v="70308.539999999994"/>
    <n v="84.11"/>
    <n v="0.76"/>
  </r>
  <r>
    <x v="9"/>
    <x v="2"/>
    <s v="Chandigarh"/>
    <x v="10"/>
    <x v="4"/>
    <s v="Cooking Oil"/>
    <n v="17"/>
    <n v="203.69"/>
    <x v="92"/>
    <n v="3047.2"/>
    <n v="415.53"/>
    <s v="Existing"/>
    <x v="0"/>
    <n v="3529.22"/>
    <n v="98.12"/>
    <n v="28.08"/>
  </r>
  <r>
    <x v="9"/>
    <x v="2"/>
    <s v="Amritsar"/>
    <x v="9"/>
    <x v="3"/>
    <s v="Wardrobe"/>
    <n v="16"/>
    <n v="20698.71"/>
    <x v="93"/>
    <n v="231825.55"/>
    <n v="99353.81"/>
    <s v="Existing"/>
    <x v="0"/>
    <n v="412586.34"/>
    <n v="80.27"/>
    <n v="13.8"/>
  </r>
  <r>
    <x v="9"/>
    <x v="1"/>
    <s v="Pune"/>
    <x v="11"/>
    <x v="2"/>
    <s v="Mixer"/>
    <n v="26"/>
    <n v="3629.45"/>
    <x v="94"/>
    <n v="75492.56"/>
    <n v="18873.14"/>
    <s v="New"/>
    <x v="0"/>
    <n v="91040.77"/>
    <n v="103.65"/>
    <n v="4.34"/>
  </r>
  <r>
    <x v="9"/>
    <x v="0"/>
    <s v="Bangalore"/>
    <x v="3"/>
    <x v="1"/>
    <s v="Jacket"/>
    <n v="33"/>
    <n v="3867.17"/>
    <x v="95"/>
    <n v="70189.14"/>
    <n v="57427.47"/>
    <s v="New"/>
    <x v="0"/>
    <n v="145536.57999999999"/>
    <n v="87.69"/>
    <n v="22.69"/>
  </r>
  <r>
    <x v="9"/>
    <x v="0"/>
    <s v="Bangalore"/>
    <x v="1"/>
    <x v="2"/>
    <s v="Microwave"/>
    <n v="39"/>
    <n v="9879.17"/>
    <x v="96"/>
    <n v="308230.09999999998"/>
    <n v="77057.53"/>
    <s v="New"/>
    <x v="0"/>
    <n v="396925.55"/>
    <n v="97.07"/>
    <n v="4.92"/>
  </r>
  <r>
    <x v="9"/>
    <x v="2"/>
    <s v="Jaipur"/>
    <x v="9"/>
    <x v="1"/>
    <s v="Jacket"/>
    <n v="10"/>
    <n v="4035.49"/>
    <x v="97"/>
    <n v="22195.200000000001"/>
    <n v="18159.7"/>
    <s v="Existing"/>
    <x v="0"/>
    <n v="41805.64"/>
    <n v="96.53"/>
    <n v="22.16"/>
  </r>
  <r>
    <x v="10"/>
    <x v="0"/>
    <s v="Coimbatore"/>
    <x v="7"/>
    <x v="4"/>
    <s v="Cooking Oil"/>
    <n v="8"/>
    <n v="168.88"/>
    <x v="98"/>
    <n v="1188.92"/>
    <n v="162.12"/>
    <s v="New"/>
    <x v="0"/>
    <n v="1470.69"/>
    <n v="91.86"/>
    <n v="2.31"/>
  </r>
  <r>
    <x v="10"/>
    <x v="3"/>
    <s v="Kolkata"/>
    <x v="4"/>
    <x v="4"/>
    <s v="Organic Tea"/>
    <n v="8"/>
    <n v="398.04"/>
    <x v="99"/>
    <n v="2802.2"/>
    <n v="382.12"/>
    <s v="Existing"/>
    <x v="1"/>
    <n v="3550.86"/>
    <n v="89.68"/>
    <n v="13.88"/>
  </r>
  <r>
    <x v="10"/>
    <x v="1"/>
    <s v="Ahmedabad"/>
    <x v="10"/>
    <x v="2"/>
    <s v="Air Conditioner"/>
    <n v="31"/>
    <n v="43512.32"/>
    <x v="100"/>
    <n v="1079105.54"/>
    <n v="269776.38"/>
    <s v="New"/>
    <x v="0"/>
    <n v="1443986.23"/>
    <n v="93.41"/>
    <n v="2.2599999999999998"/>
  </r>
  <r>
    <x v="10"/>
    <x v="1"/>
    <s v="Mumbai"/>
    <x v="0"/>
    <x v="3"/>
    <s v="Bookshelf"/>
    <n v="9"/>
    <n v="6791.51"/>
    <x v="101"/>
    <n v="42786.51"/>
    <n v="18337.080000000002"/>
    <s v="Existing"/>
    <x v="0"/>
    <n v="54923.85"/>
    <n v="111.29"/>
    <n v="28.79"/>
  </r>
  <r>
    <x v="10"/>
    <x v="1"/>
    <s v="Surat"/>
    <x v="10"/>
    <x v="1"/>
    <s v="Saree"/>
    <n v="38"/>
    <n v="2713.92"/>
    <x v="102"/>
    <n v="56720.93"/>
    <n v="46408.03"/>
    <s v="New"/>
    <x v="0"/>
    <n v="114676.18"/>
    <n v="89.93"/>
    <n v="22.52"/>
  </r>
  <r>
    <x v="10"/>
    <x v="0"/>
    <s v="Kochi"/>
    <x v="3"/>
    <x v="4"/>
    <s v="Mixed Spices"/>
    <n v="11"/>
    <n v="218.35"/>
    <x v="103"/>
    <n v="2113.63"/>
    <n v="288.22000000000003"/>
    <s v="Existing"/>
    <x v="1"/>
    <n v="2890.23"/>
    <n v="83.1"/>
    <n v="-8"/>
  </r>
  <r>
    <x v="10"/>
    <x v="3"/>
    <s v="Ranchi"/>
    <x v="5"/>
    <x v="4"/>
    <s v="Mixed Spices"/>
    <n v="14"/>
    <n v="226.11"/>
    <x v="104"/>
    <n v="2785.68"/>
    <n v="379.86"/>
    <s v="New"/>
    <x v="1"/>
    <n v="3050.04"/>
    <n v="103.79"/>
    <n v="14.87"/>
  </r>
  <r>
    <x v="10"/>
    <x v="2"/>
    <s v="Amritsar"/>
    <x v="9"/>
    <x v="0"/>
    <s v="Headphones"/>
    <n v="32"/>
    <n v="4986.9399999999996"/>
    <x v="105"/>
    <n v="130857.31"/>
    <n v="28724.77"/>
    <s v="Existing"/>
    <x v="1"/>
    <n v="174395.45"/>
    <n v="91.51"/>
    <n v="0.85"/>
  </r>
  <r>
    <x v="10"/>
    <x v="3"/>
    <s v="Ranchi"/>
    <x v="10"/>
    <x v="2"/>
    <s v="Mixer"/>
    <n v="36"/>
    <n v="3540.17"/>
    <x v="106"/>
    <n v="101956.9"/>
    <n v="25489.22"/>
    <s v="New"/>
    <x v="0"/>
    <n v="131273.06"/>
    <n v="97.08"/>
    <n v="18.829999999999998"/>
  </r>
  <r>
    <x v="10"/>
    <x v="3"/>
    <s v="Patna"/>
    <x v="8"/>
    <x v="3"/>
    <s v="Bookshelf"/>
    <n v="5"/>
    <n v="6165.72"/>
    <x v="107"/>
    <n v="21580.02"/>
    <n v="9248.58"/>
    <s v="New"/>
    <x v="1"/>
    <n v="37375.64"/>
    <n v="82.48"/>
    <n v="0.72"/>
  </r>
  <r>
    <x v="10"/>
    <x v="3"/>
    <s v="Kolkata"/>
    <x v="9"/>
    <x v="4"/>
    <s v="Cooking Oil"/>
    <n v="35"/>
    <n v="164.34"/>
    <x v="108"/>
    <n v="5061.67"/>
    <n v="690.23"/>
    <s v="Existing"/>
    <x v="1"/>
    <n v="6384.94"/>
    <n v="90.09"/>
    <n v="20.16"/>
  </r>
  <r>
    <x v="10"/>
    <x v="0"/>
    <s v="Coimbatore"/>
    <x v="10"/>
    <x v="4"/>
    <s v="Basmati Rice"/>
    <n v="3"/>
    <n v="117.55"/>
    <x v="109"/>
    <n v="310.33"/>
    <n v="42.32"/>
    <s v="Existing"/>
    <x v="0"/>
    <n v="354.21"/>
    <n v="99.56"/>
    <n v="14.87"/>
  </r>
  <r>
    <x v="11"/>
    <x v="3"/>
    <s v="Ranchi"/>
    <x v="11"/>
    <x v="2"/>
    <s v="Mixer"/>
    <n v="30"/>
    <n v="3592.36"/>
    <x v="110"/>
    <n v="86216.639999999999"/>
    <n v="21554.16"/>
    <s v="Existing"/>
    <x v="1"/>
    <n v="125794.22"/>
    <n v="85.67"/>
    <n v="-9.85"/>
  </r>
  <r>
    <x v="11"/>
    <x v="3"/>
    <s v="Kolkata"/>
    <x v="11"/>
    <x v="1"/>
    <s v="Saree"/>
    <n v="43"/>
    <n v="2505.25"/>
    <x v="111"/>
    <n v="59249.16"/>
    <n v="48476.59"/>
    <s v="Existing"/>
    <x v="0"/>
    <n v="115456.69"/>
    <n v="93.3"/>
    <n v="-6.37"/>
  </r>
  <r>
    <x v="11"/>
    <x v="1"/>
    <s v="Surat"/>
    <x v="1"/>
    <x v="2"/>
    <s v="Mixer"/>
    <n v="15"/>
    <n v="3577.2"/>
    <x v="112"/>
    <n v="42926.400000000001"/>
    <n v="10731.6"/>
    <s v="Existing"/>
    <x v="0"/>
    <n v="56032.73"/>
    <n v="95.76"/>
    <n v="2.5"/>
  </r>
  <r>
    <x v="11"/>
    <x v="1"/>
    <s v="Ahmedabad"/>
    <x v="10"/>
    <x v="3"/>
    <s v="Wardrobe"/>
    <n v="41"/>
    <n v="24278.35"/>
    <x v="113"/>
    <n v="696788.64"/>
    <n v="298623.71000000002"/>
    <s v="New"/>
    <x v="0"/>
    <n v="984646.39"/>
    <n v="101.09"/>
    <n v="0"/>
  </r>
  <r>
    <x v="11"/>
    <x v="3"/>
    <s v="Guwahati"/>
    <x v="9"/>
    <x v="4"/>
    <s v="Mixed Spices"/>
    <n v="13"/>
    <n v="202.18"/>
    <x v="114"/>
    <n v="2312.94"/>
    <n v="315.39999999999998"/>
    <s v="New"/>
    <x v="1"/>
    <n v="2967.07"/>
    <n v="88.58"/>
    <n v="-1.43"/>
  </r>
  <r>
    <x v="11"/>
    <x v="1"/>
    <s v="Ahmedabad"/>
    <x v="4"/>
    <x v="1"/>
    <s v="Sports Shoes"/>
    <n v="8"/>
    <n v="3781.12"/>
    <x v="115"/>
    <n v="16636.93"/>
    <n v="13612.03"/>
    <s v="Existing"/>
    <x v="1"/>
    <n v="34700.17"/>
    <n v="87.17"/>
    <n v="27.79"/>
  </r>
  <r>
    <x v="11"/>
    <x v="1"/>
    <s v="Pune"/>
    <x v="2"/>
    <x v="4"/>
    <s v="Dry Fruits"/>
    <n v="23"/>
    <n v="639.02"/>
    <x v="116"/>
    <n v="12933.76"/>
    <n v="1763.7"/>
    <s v="Existing"/>
    <x v="0"/>
    <n v="17977.060000000001"/>
    <n v="81.760000000000005"/>
    <n v="24.13"/>
  </r>
  <r>
    <x v="11"/>
    <x v="3"/>
    <s v="Bhubaneswar"/>
    <x v="8"/>
    <x v="0"/>
    <s v="Laptop"/>
    <n v="20"/>
    <n v="68169.47"/>
    <x v="117"/>
    <n v="1117979.31"/>
    <n v="245410.09"/>
    <s v="Existing"/>
    <x v="0"/>
    <n v="1226697.97"/>
    <n v="111.14"/>
    <n v="15.99"/>
  </r>
  <r>
    <x v="11"/>
    <x v="2"/>
    <s v="Chandigarh"/>
    <x v="1"/>
    <x v="4"/>
    <s v="Cooking Oil"/>
    <n v="36"/>
    <n v="176.76"/>
    <x v="118"/>
    <n v="5599.76"/>
    <n v="763.6"/>
    <s v="New"/>
    <x v="1"/>
    <n v="7026.18"/>
    <n v="90.57"/>
    <n v="5.89"/>
  </r>
  <r>
    <x v="11"/>
    <x v="0"/>
    <s v="Chennai"/>
    <x v="6"/>
    <x v="3"/>
    <s v="Wardrobe"/>
    <n v="11"/>
    <n v="19814.72"/>
    <x v="119"/>
    <n v="152573.34"/>
    <n v="65388.58"/>
    <s v="Existing"/>
    <x v="0"/>
    <n v="210661.01"/>
    <n v="103.47"/>
    <n v="-4.5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x v="0"/>
  </r>
  <r>
    <x v="0"/>
  </r>
  <r>
    <x v="0"/>
  </r>
  <r>
    <x v="0"/>
  </r>
  <r>
    <x v="0"/>
  </r>
  <r>
    <x v="1"/>
  </r>
  <r>
    <x v="1"/>
  </r>
  <r>
    <x v="0"/>
  </r>
  <r>
    <x v="0"/>
  </r>
  <r>
    <x v="1"/>
  </r>
  <r>
    <x v="0"/>
  </r>
  <r>
    <x v="0"/>
  </r>
  <r>
    <x v="0"/>
  </r>
  <r>
    <x v="1"/>
  </r>
  <r>
    <x v="0"/>
  </r>
  <r>
    <x v="1"/>
  </r>
  <r>
    <x v="1"/>
  </r>
  <r>
    <x v="1"/>
  </r>
  <r>
    <x v="0"/>
  </r>
  <r>
    <x v="1"/>
  </r>
  <r>
    <x v="0"/>
  </r>
  <r>
    <x v="0"/>
  </r>
  <r>
    <x v="1"/>
  </r>
  <r>
    <x v="0"/>
  </r>
  <r>
    <x v="0"/>
  </r>
  <r>
    <x v="0"/>
  </r>
  <r>
    <x v="1"/>
  </r>
  <r>
    <x v="0"/>
  </r>
  <r>
    <x v="1"/>
  </r>
  <r>
    <x v="1"/>
  </r>
  <r>
    <x v="1"/>
  </r>
  <r>
    <x v="0"/>
  </r>
  <r>
    <x v="0"/>
  </r>
  <r>
    <x v="1"/>
  </r>
  <r>
    <x v="1"/>
  </r>
  <r>
    <x v="1"/>
  </r>
  <r>
    <x v="1"/>
  </r>
  <r>
    <x v="0"/>
  </r>
  <r>
    <x v="0"/>
  </r>
  <r>
    <x v="1"/>
  </r>
  <r>
    <x v="1"/>
  </r>
  <r>
    <x v="0"/>
  </r>
  <r>
    <x v="0"/>
  </r>
  <r>
    <x v="1"/>
  </r>
  <r>
    <x v="0"/>
  </r>
  <r>
    <x v="1"/>
  </r>
  <r>
    <x v="1"/>
  </r>
  <r>
    <x v="1"/>
  </r>
  <r>
    <x v="0"/>
  </r>
  <r>
    <x v="0"/>
  </r>
  <r>
    <x v="1"/>
  </r>
  <r>
    <x v="0"/>
  </r>
  <r>
    <x v="1"/>
  </r>
  <r>
    <x v="1"/>
  </r>
  <r>
    <x v="1"/>
  </r>
  <r>
    <x v="0"/>
  </r>
  <r>
    <x v="0"/>
  </r>
  <r>
    <x v="1"/>
  </r>
  <r>
    <x v="1"/>
  </r>
  <r>
    <x v="0"/>
  </r>
  <r>
    <x v="1"/>
  </r>
  <r>
    <x v="1"/>
  </r>
  <r>
    <x v="0"/>
  </r>
  <r>
    <x v="0"/>
  </r>
  <r>
    <x v="0"/>
  </r>
  <r>
    <x v="1"/>
  </r>
  <r>
    <x v="1"/>
  </r>
  <r>
    <x v="1"/>
  </r>
  <r>
    <x v="1"/>
  </r>
  <r>
    <x v="1"/>
  </r>
  <r>
    <x v="1"/>
  </r>
  <r>
    <x v="1"/>
  </r>
  <r>
    <x v="1"/>
  </r>
  <r>
    <x v="1"/>
  </r>
  <r>
    <x v="0"/>
  </r>
  <r>
    <x v="1"/>
  </r>
  <r>
    <x v="0"/>
  </r>
  <r>
    <x v="0"/>
  </r>
  <r>
    <x v="0"/>
  </r>
  <r>
    <x v="0"/>
  </r>
  <r>
    <x v="0"/>
  </r>
  <r>
    <x v="0"/>
  </r>
  <r>
    <x v="1"/>
  </r>
  <r>
    <x v="0"/>
  </r>
  <r>
    <x v="1"/>
  </r>
  <r>
    <x v="1"/>
  </r>
  <r>
    <x v="1"/>
  </r>
  <r>
    <x v="0"/>
  </r>
  <r>
    <x v="0"/>
  </r>
  <r>
    <x v="0"/>
  </r>
  <r>
    <x v="0"/>
  </r>
  <r>
    <x v="1"/>
  </r>
  <r>
    <x v="1"/>
  </r>
  <r>
    <x v="1"/>
  </r>
  <r>
    <x v="0"/>
  </r>
  <r>
    <x v="0"/>
  </r>
  <r>
    <x v="0"/>
  </r>
  <r>
    <x v="1"/>
  </r>
  <r>
    <x v="0"/>
  </r>
  <r>
    <x v="1"/>
  </r>
  <r>
    <x v="0"/>
  </r>
  <r>
    <x v="1"/>
  </r>
  <r>
    <x v="0"/>
  </r>
  <r>
    <x v="1"/>
  </r>
  <r>
    <x v="0"/>
  </r>
  <r>
    <x v="1"/>
  </r>
  <r>
    <x v="0"/>
  </r>
  <r>
    <x v="0"/>
  </r>
  <r>
    <x v="1"/>
  </r>
  <r>
    <x v="1"/>
  </r>
  <r>
    <x v="1"/>
  </r>
  <r>
    <x v="1"/>
  </r>
  <r>
    <x v="1"/>
  </r>
  <r>
    <x v="0"/>
  </r>
  <r>
    <x v="0"/>
  </r>
  <r>
    <x v="1"/>
  </r>
  <r>
    <x v="1"/>
  </r>
  <r>
    <x v="1"/>
  </r>
  <r>
    <x v="0"/>
  </r>
  <r>
    <x v="1"/>
  </r>
  <r>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31C5A9-5F85-4B40-AAC2-3FCF1D7EA54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C29" firstHeaderRow="1" firstDataRow="1" firstDataCol="1"/>
  <pivotFields count="16">
    <pivotField showAll="0"/>
    <pivotField showAll="0"/>
    <pivotField showAll="0"/>
    <pivotField showAll="0"/>
    <pivotField showAll="0"/>
    <pivotField showAll="0"/>
    <pivotField showAll="0"/>
    <pivotField numFmtId="4" showAll="0"/>
    <pivotField dataField="1" numFmtId="4" showAll="0"/>
    <pivotField numFmtId="4" showAll="0"/>
    <pivotField numFmtId="4" showAll="0"/>
    <pivotField showAll="0"/>
    <pivotField axis="axisRow" showAll="0">
      <items count="3">
        <item x="0"/>
        <item x="1"/>
        <item t="default"/>
      </items>
    </pivotField>
    <pivotField numFmtId="4" showAll="0"/>
    <pivotField numFmtId="2" showAll="0"/>
    <pivotField numFmtId="2" showAll="0"/>
  </pivotFields>
  <rowFields count="1">
    <field x="12"/>
  </rowFields>
  <rowItems count="3">
    <i>
      <x/>
    </i>
    <i>
      <x v="1"/>
    </i>
    <i t="grand">
      <x/>
    </i>
  </rowItems>
  <colItems count="1">
    <i/>
  </colItems>
  <dataFields count="1">
    <dataField name="Sum of Revenue (₹)" fld="8"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6521FE-586A-4515-9E75-64FDCD0C5BD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30:I35" firstHeaderRow="1" firstDataRow="1" firstDataCol="1"/>
  <pivotFields count="16">
    <pivotField showAll="0">
      <items count="13">
        <item x="0"/>
        <item x="1"/>
        <item x="2"/>
        <item x="3"/>
        <item x="4"/>
        <item x="5"/>
        <item x="6"/>
        <item x="7"/>
        <item x="8"/>
        <item x="9"/>
        <item x="10"/>
        <item x="11"/>
        <item t="default"/>
      </items>
    </pivotField>
    <pivotField axis="axisRow" showAll="0">
      <items count="5">
        <item x="3"/>
        <item x="2"/>
        <item x="0"/>
        <item x="1"/>
        <item t="default"/>
      </items>
    </pivotField>
    <pivotField showAll="0"/>
    <pivotField showAll="0"/>
    <pivotField showAll="0">
      <items count="6">
        <item x="1"/>
        <item x="2"/>
        <item x="0"/>
        <item x="3"/>
        <item x="4"/>
        <item t="default"/>
      </items>
    </pivotField>
    <pivotField showAll="0"/>
    <pivotField showAll="0"/>
    <pivotField numFmtId="4" showAll="0"/>
    <pivotField dataField="1" numFmtId="4" showAll="0"/>
    <pivotField numFmtId="4" showAll="0"/>
    <pivotField numFmtId="4" showAll="0"/>
    <pivotField showAll="0"/>
    <pivotField showAll="0">
      <items count="3">
        <item x="0"/>
        <item x="1"/>
        <item t="default"/>
      </items>
    </pivotField>
    <pivotField numFmtId="4" showAll="0"/>
    <pivotField numFmtId="2" showAll="0"/>
    <pivotField numFmtId="2" showAll="0"/>
  </pivotFields>
  <rowFields count="1">
    <field x="1"/>
  </rowFields>
  <rowItems count="5">
    <i>
      <x/>
    </i>
    <i>
      <x v="1"/>
    </i>
    <i>
      <x v="2"/>
    </i>
    <i>
      <x v="3"/>
    </i>
    <i t="grand">
      <x/>
    </i>
  </rowItems>
  <colItems count="1">
    <i/>
  </colItems>
  <dataFields count="1">
    <dataField name="Sum of Revenue (₹)" fld="8" baseField="0" baseItem="0" numFmtId="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B5946C-062B-4CCD-9D79-1A56E1A7BD8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L5:M11" firstHeaderRow="1" firstDataRow="1" firstDataCol="1"/>
  <pivotFields count="16">
    <pivotField showAll="0"/>
    <pivotField showAll="0"/>
    <pivotField showAll="0"/>
    <pivotField showAll="0"/>
    <pivotField axis="axisRow" showAll="0">
      <items count="6">
        <item x="1"/>
        <item x="2"/>
        <item x="0"/>
        <item x="3"/>
        <item x="4"/>
        <item t="default"/>
      </items>
    </pivotField>
    <pivotField showAll="0"/>
    <pivotField showAll="0"/>
    <pivotField numFmtId="4" showAll="0"/>
    <pivotField dataField="1" numFmtId="4" showAll="0"/>
    <pivotField numFmtId="4" showAll="0"/>
    <pivotField numFmtId="4" showAll="0"/>
    <pivotField showAll="0"/>
    <pivotField showAll="0"/>
    <pivotField numFmtId="4" showAll="0"/>
    <pivotField numFmtId="2" showAll="0"/>
    <pivotField numFmtId="2" showAll="0"/>
  </pivotFields>
  <rowFields count="1">
    <field x="4"/>
  </rowFields>
  <rowItems count="6">
    <i>
      <x/>
    </i>
    <i>
      <x v="1"/>
    </i>
    <i>
      <x v="2"/>
    </i>
    <i>
      <x v="3"/>
    </i>
    <i>
      <x v="4"/>
    </i>
    <i t="grand">
      <x/>
    </i>
  </rowItems>
  <colItems count="1">
    <i/>
  </colItems>
  <dataFields count="1">
    <dataField name="Sum of Revenue (₹)" fld="8" baseField="0" baseItem="0" numFmtId="4"/>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F1D9C6-2EE6-4234-BD68-0558792A6BC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17" firstHeaderRow="1" firstDataRow="1" firstDataCol="1"/>
  <pivotFields count="16">
    <pivotField showAll="0"/>
    <pivotField showAll="0"/>
    <pivotField showAll="0"/>
    <pivotField axis="axisRow" showAll="0">
      <items count="13">
        <item x="5"/>
        <item x="3"/>
        <item x="7"/>
        <item x="2"/>
        <item x="11"/>
        <item x="1"/>
        <item x="9"/>
        <item x="6"/>
        <item x="8"/>
        <item x="0"/>
        <item x="4"/>
        <item x="10"/>
        <item t="default"/>
      </items>
    </pivotField>
    <pivotField showAll="0"/>
    <pivotField showAll="0"/>
    <pivotField showAll="0"/>
    <pivotField numFmtId="4" showAll="0"/>
    <pivotField numFmtId="4" showAll="0"/>
    <pivotField numFmtId="4" showAll="0"/>
    <pivotField numFmtId="4" showAll="0"/>
    <pivotField showAll="0"/>
    <pivotField showAll="0"/>
    <pivotField dataField="1" numFmtId="4" showAll="0"/>
    <pivotField numFmtId="2" showAll="0"/>
    <pivotField numFmtId="2" showAll="0"/>
  </pivotFields>
  <rowFields count="1">
    <field x="3"/>
  </rowFields>
  <rowItems count="13">
    <i>
      <x/>
    </i>
    <i>
      <x v="1"/>
    </i>
    <i>
      <x v="2"/>
    </i>
    <i>
      <x v="3"/>
    </i>
    <i>
      <x v="4"/>
    </i>
    <i>
      <x v="5"/>
    </i>
    <i>
      <x v="6"/>
    </i>
    <i>
      <x v="7"/>
    </i>
    <i>
      <x v="8"/>
    </i>
    <i>
      <x v="9"/>
    </i>
    <i>
      <x v="10"/>
    </i>
    <i>
      <x v="11"/>
    </i>
    <i t="grand">
      <x/>
    </i>
  </rowItems>
  <colItems count="1">
    <i/>
  </colItems>
  <dataFields count="1">
    <dataField name="Sum of Target Sales (₹)" fld="13"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D4333A-C9E1-4B4D-84FB-9B28E3FF045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6">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numFmtId="4" showAll="0"/>
    <pivotField dataField="1" numFmtId="4" showAll="0">
      <items count="121">
        <item x="109"/>
        <item x="71"/>
        <item x="30"/>
        <item x="98"/>
        <item x="103"/>
        <item x="114"/>
        <item x="50"/>
        <item x="104"/>
        <item x="99"/>
        <item x="86"/>
        <item x="92"/>
        <item x="33"/>
        <item x="55"/>
        <item x="73"/>
        <item x="108"/>
        <item x="60"/>
        <item x="118"/>
        <item x="11"/>
        <item x="18"/>
        <item x="62"/>
        <item x="89"/>
        <item x="116"/>
        <item x="59"/>
        <item x="41"/>
        <item x="37"/>
        <item x="13"/>
        <item x="80"/>
        <item x="67"/>
        <item x="115"/>
        <item x="107"/>
        <item x="9"/>
        <item x="97"/>
        <item x="31"/>
        <item x="112"/>
        <item x="65"/>
        <item x="81"/>
        <item x="91"/>
        <item x="101"/>
        <item x="16"/>
        <item x="23"/>
        <item x="8"/>
        <item x="22"/>
        <item x="77"/>
        <item x="49"/>
        <item x="57"/>
        <item x="3"/>
        <item x="1"/>
        <item x="27"/>
        <item x="25"/>
        <item x="83"/>
        <item x="2"/>
        <item x="94"/>
        <item x="28"/>
        <item x="102"/>
        <item x="75"/>
        <item x="111"/>
        <item x="110"/>
        <item x="61"/>
        <item x="5"/>
        <item x="36"/>
        <item x="19"/>
        <item x="29"/>
        <item x="4"/>
        <item x="72"/>
        <item x="63"/>
        <item x="52"/>
        <item x="106"/>
        <item x="95"/>
        <item x="40"/>
        <item x="47"/>
        <item x="14"/>
        <item x="105"/>
        <item x="10"/>
        <item x="82"/>
        <item x="69"/>
        <item x="84"/>
        <item x="44"/>
        <item x="119"/>
        <item x="43"/>
        <item x="42"/>
        <item x="88"/>
        <item x="21"/>
        <item x="85"/>
        <item x="35"/>
        <item x="78"/>
        <item x="56"/>
        <item x="39"/>
        <item x="93"/>
        <item x="66"/>
        <item x="53"/>
        <item x="38"/>
        <item x="70"/>
        <item x="96"/>
        <item x="51"/>
        <item x="7"/>
        <item x="17"/>
        <item x="26"/>
        <item x="32"/>
        <item x="74"/>
        <item x="45"/>
        <item x="54"/>
        <item x="87"/>
        <item x="76"/>
        <item x="0"/>
        <item x="12"/>
        <item x="113"/>
        <item x="34"/>
        <item x="24"/>
        <item x="20"/>
        <item x="46"/>
        <item x="68"/>
        <item x="100"/>
        <item x="117"/>
        <item x="6"/>
        <item x="15"/>
        <item x="90"/>
        <item x="79"/>
        <item x="58"/>
        <item x="48"/>
        <item x="64"/>
        <item t="default"/>
      </items>
    </pivotField>
    <pivotField numFmtId="4" showAll="0"/>
    <pivotField numFmtId="4" showAll="0"/>
    <pivotField showAll="0"/>
    <pivotField showAll="0"/>
    <pivotField numFmtId="4" showAll="0"/>
    <pivotField numFmtId="2" showAll="0"/>
    <pivotField numFmtId="2" showAll="0"/>
  </pivotFields>
  <rowFields count="1">
    <field x="0"/>
  </rowFields>
  <rowItems count="13">
    <i>
      <x/>
    </i>
    <i>
      <x v="1"/>
    </i>
    <i>
      <x v="2"/>
    </i>
    <i>
      <x v="3"/>
    </i>
    <i>
      <x v="4"/>
    </i>
    <i>
      <x v="5"/>
    </i>
    <i>
      <x v="6"/>
    </i>
    <i>
      <x v="7"/>
    </i>
    <i>
      <x v="8"/>
    </i>
    <i>
      <x v="9"/>
    </i>
    <i>
      <x v="10"/>
    </i>
    <i>
      <x v="11"/>
    </i>
    <i t="grand">
      <x/>
    </i>
  </rowItems>
  <colItems count="1">
    <i/>
  </colItems>
  <dataFields count="1">
    <dataField name="Sum of Revenue (₹)" fld="8" baseField="0" baseItem="0" numFmtId="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52B3C7B-53FF-486F-9927-7F30ACE2043A}" sourceName="Month">
  <pivotTables>
    <pivotTable tabId="11" name="PivotTable8"/>
  </pivotTables>
  <data>
    <tabular pivotCacheId="2103575442">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B9FEA18-5C49-4411-AAAE-4F944E7279C1}" sourceName="Region">
  <pivotTables>
    <pivotTable tabId="11" name="PivotTable8"/>
  </pivotTables>
  <data>
    <tabular pivotCacheId="2103575442">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383BDD4-D2AB-4EDC-8487-77CC2C9E0E3E}" sourceName="Product Category">
  <pivotTables>
    <pivotTable tabId="11" name="PivotTable8"/>
  </pivotTables>
  <data>
    <tabular pivotCacheId="2103575442">
      <items count="5">
        <i x="1" s="1"/>
        <i x="2" s="1"/>
        <i x="0"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7F1B4EB-E8DB-496F-A416-C7EDF6DB1C07}" sourceName="Sales Channel">
  <pivotTables>
    <pivotTable tabId="11" name="PivotTable8"/>
  </pivotTables>
  <data>
    <tabular pivotCacheId="2103575442">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3D501C8-8D65-44B4-81C5-D24752A039FB}" sourceName="Customer Type">
  <data>
    <tabular pivotCacheId="81040081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95C07F5-1FAE-4A27-8C0B-F378F3BCFA5C}" cache="Slicer_Month" caption="Month" startItem="3" style="SlicerStyleDark5" rowHeight="234950"/>
  <slicer name="Region 1" xr10:uid="{6740ED9A-C426-473C-9B8D-D849BD088596}" cache="Slicer_Region" caption="Region" style="SlicerStyleDark6" rowHeight="234950"/>
  <slicer name="Product Category 1" xr10:uid="{43130787-71A3-43A3-8048-F3CD26D1C91D}" cache="Slicer_Product_Category" caption="Product Category" style="SlicerStyleDark4" rowHeight="234950"/>
  <slicer name="Sales Channel 1" xr10:uid="{310DA85E-EE8E-4919-B733-2B878AA9F0BC}" cache="Slicer_Sales_Channel" caption="Sales Channel" style="SlicerStyleDark3" rowHeight="234950"/>
  <slicer name="Customer Type 1" xr10:uid="{E9F5EFD2-9B71-4EED-BB7B-E2F944107FE7}" cache="Slicer_Customer_Type" caption="Customer Type" style="SlicerStyleLight2"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1"/>
  <sheetViews>
    <sheetView zoomScaleNormal="100" workbookViewId="0">
      <pane ySplit="1" topLeftCell="A99" activePane="bottomLeft" state="frozen"/>
      <selection pane="bottomLeft" activeCell="F109" sqref="F109"/>
    </sheetView>
  </sheetViews>
  <sheetFormatPr defaultColWidth="8.6640625" defaultRowHeight="14.4" x14ac:dyDescent="0.3"/>
  <cols>
    <col min="1" max="1" width="13" customWidth="1"/>
    <col min="2" max="2" width="11" customWidth="1"/>
    <col min="3" max="3" width="9" customWidth="1"/>
    <col min="4" max="4" width="14" customWidth="1"/>
    <col min="5" max="5" width="22" customWidth="1"/>
    <col min="6" max="7" width="17" customWidth="1"/>
    <col min="8" max="8" width="10" customWidth="1"/>
    <col min="9" max="9" width="16" customWidth="1"/>
    <col min="10" max="13" width="14" customWidth="1"/>
    <col min="14" max="14" width="13" customWidth="1"/>
    <col min="15" max="15" width="16" customWidth="1"/>
    <col min="16" max="16" width="14" customWidth="1"/>
    <col min="17" max="17" width="10" customWidth="1"/>
  </cols>
  <sheetData>
    <row r="1" spans="1:17" ht="34.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5" customHeight="1" x14ac:dyDescent="0.3">
      <c r="A2" s="2" t="s">
        <v>17</v>
      </c>
      <c r="B2" s="2" t="s">
        <v>18</v>
      </c>
      <c r="C2" s="2" t="s">
        <v>19</v>
      </c>
      <c r="D2" s="2" t="s">
        <v>20</v>
      </c>
      <c r="E2" s="2" t="s">
        <v>21</v>
      </c>
      <c r="F2" s="2" t="s">
        <v>22</v>
      </c>
      <c r="G2" s="2" t="s">
        <v>23</v>
      </c>
      <c r="H2" s="2">
        <v>33</v>
      </c>
      <c r="I2" s="3">
        <v>3499.72</v>
      </c>
      <c r="J2" s="3">
        <v>115490.76</v>
      </c>
      <c r="K2" s="3">
        <v>63519.92</v>
      </c>
      <c r="L2" s="3">
        <v>51970.84</v>
      </c>
      <c r="M2" s="2" t="s">
        <v>24</v>
      </c>
      <c r="N2" s="2" t="s">
        <v>25</v>
      </c>
      <c r="O2" s="3">
        <v>103495.51</v>
      </c>
      <c r="P2" s="4">
        <v>111.59</v>
      </c>
      <c r="Q2" s="4">
        <v>28.67</v>
      </c>
    </row>
    <row r="3" spans="1:17" ht="15" customHeight="1" x14ac:dyDescent="0.3">
      <c r="A3" s="5" t="s">
        <v>26</v>
      </c>
      <c r="B3" s="5" t="s">
        <v>27</v>
      </c>
      <c r="C3" s="5" t="s">
        <v>19</v>
      </c>
      <c r="D3" s="5" t="s">
        <v>28</v>
      </c>
      <c r="E3" s="5" t="s">
        <v>29</v>
      </c>
      <c r="F3" s="5" t="s">
        <v>30</v>
      </c>
      <c r="G3" s="5" t="s">
        <v>31</v>
      </c>
      <c r="H3" s="5">
        <v>30</v>
      </c>
      <c r="I3" s="6">
        <v>3592.36</v>
      </c>
      <c r="J3" s="6">
        <v>107770.8</v>
      </c>
      <c r="K3" s="6">
        <v>86216.639999999999</v>
      </c>
      <c r="L3" s="6">
        <v>21554.16</v>
      </c>
      <c r="M3" s="5" t="s">
        <v>24</v>
      </c>
      <c r="N3" s="5" t="s">
        <v>25</v>
      </c>
      <c r="O3" s="6">
        <v>125794.22</v>
      </c>
      <c r="P3" s="7">
        <v>85.67</v>
      </c>
      <c r="Q3" s="7">
        <v>-9.85</v>
      </c>
    </row>
    <row r="4" spans="1:17" ht="15" customHeight="1" x14ac:dyDescent="0.3">
      <c r="A4" s="2" t="s">
        <v>32</v>
      </c>
      <c r="B4" s="2" t="s">
        <v>33</v>
      </c>
      <c r="C4" s="2" t="s">
        <v>34</v>
      </c>
      <c r="D4" s="2" t="s">
        <v>35</v>
      </c>
      <c r="E4" s="2" t="s">
        <v>36</v>
      </c>
      <c r="F4" s="2" t="s">
        <v>37</v>
      </c>
      <c r="G4" s="2" t="s">
        <v>38</v>
      </c>
      <c r="H4" s="2">
        <v>50</v>
      </c>
      <c r="I4" s="3">
        <v>36610.69</v>
      </c>
      <c r="J4" s="3">
        <v>1830534.5</v>
      </c>
      <c r="K4" s="3">
        <v>1281374.1499999999</v>
      </c>
      <c r="L4" s="3">
        <v>549160.35</v>
      </c>
      <c r="M4" s="2" t="s">
        <v>39</v>
      </c>
      <c r="N4" s="2" t="s">
        <v>40</v>
      </c>
      <c r="O4" s="3">
        <v>1905205.47</v>
      </c>
      <c r="P4" s="4">
        <v>96.08</v>
      </c>
      <c r="Q4" s="4">
        <v>27.42</v>
      </c>
    </row>
    <row r="5" spans="1:17" ht="15" customHeight="1" x14ac:dyDescent="0.3">
      <c r="A5" s="5" t="s">
        <v>41</v>
      </c>
      <c r="B5" s="5" t="s">
        <v>42</v>
      </c>
      <c r="C5" s="5" t="s">
        <v>43</v>
      </c>
      <c r="D5" s="5" t="s">
        <v>44</v>
      </c>
      <c r="E5" s="5" t="s">
        <v>45</v>
      </c>
      <c r="F5" s="5" t="s">
        <v>37</v>
      </c>
      <c r="G5" s="5" t="s">
        <v>46</v>
      </c>
      <c r="H5" s="5">
        <v>17</v>
      </c>
      <c r="I5" s="6">
        <v>19793.310000000001</v>
      </c>
      <c r="J5" s="6">
        <v>336486.27</v>
      </c>
      <c r="K5" s="6">
        <v>235540.39</v>
      </c>
      <c r="L5" s="6">
        <v>100945.88</v>
      </c>
      <c r="M5" s="5" t="s">
        <v>39</v>
      </c>
      <c r="N5" s="5" t="s">
        <v>25</v>
      </c>
      <c r="O5" s="6">
        <v>303753.32</v>
      </c>
      <c r="P5" s="7">
        <v>110.78</v>
      </c>
      <c r="Q5" s="7">
        <v>1.1200000000000001</v>
      </c>
    </row>
    <row r="6" spans="1:17" ht="15" customHeight="1" x14ac:dyDescent="0.3">
      <c r="A6" s="2" t="s">
        <v>47</v>
      </c>
      <c r="B6" s="2" t="s">
        <v>48</v>
      </c>
      <c r="C6" s="2" t="s">
        <v>49</v>
      </c>
      <c r="D6" s="2" t="s">
        <v>50</v>
      </c>
      <c r="E6" s="2" t="s">
        <v>51</v>
      </c>
      <c r="F6" s="2" t="s">
        <v>52</v>
      </c>
      <c r="G6" s="2" t="s">
        <v>53</v>
      </c>
      <c r="H6" s="2">
        <v>8</v>
      </c>
      <c r="I6" s="3">
        <v>168.88</v>
      </c>
      <c r="J6" s="3">
        <v>1351.04</v>
      </c>
      <c r="K6" s="3">
        <v>1188.92</v>
      </c>
      <c r="L6" s="3">
        <v>162.12</v>
      </c>
      <c r="M6" s="2" t="s">
        <v>39</v>
      </c>
      <c r="N6" s="2" t="s">
        <v>40</v>
      </c>
      <c r="O6" s="3">
        <v>1470.69</v>
      </c>
      <c r="P6" s="4">
        <v>91.86</v>
      </c>
      <c r="Q6" s="4">
        <v>2.31</v>
      </c>
    </row>
    <row r="7" spans="1:17" ht="15" customHeight="1" x14ac:dyDescent="0.3">
      <c r="A7" s="5" t="s">
        <v>47</v>
      </c>
      <c r="B7" s="5" t="s">
        <v>48</v>
      </c>
      <c r="C7" s="5" t="s">
        <v>19</v>
      </c>
      <c r="D7" s="5" t="s">
        <v>20</v>
      </c>
      <c r="E7" s="5" t="s">
        <v>54</v>
      </c>
      <c r="F7" s="5" t="s">
        <v>52</v>
      </c>
      <c r="G7" s="5" t="s">
        <v>55</v>
      </c>
      <c r="H7" s="5">
        <v>8</v>
      </c>
      <c r="I7" s="6">
        <v>398.04</v>
      </c>
      <c r="J7" s="6">
        <v>3184.32</v>
      </c>
      <c r="K7" s="6">
        <v>2802.2</v>
      </c>
      <c r="L7" s="6">
        <v>382.12</v>
      </c>
      <c r="M7" s="5" t="s">
        <v>24</v>
      </c>
      <c r="N7" s="5" t="s">
        <v>25</v>
      </c>
      <c r="O7" s="6">
        <v>3550.86</v>
      </c>
      <c r="P7" s="7">
        <v>89.68</v>
      </c>
      <c r="Q7" s="7">
        <v>13.88</v>
      </c>
    </row>
    <row r="8" spans="1:17" ht="15" customHeight="1" x14ac:dyDescent="0.3">
      <c r="A8" s="2" t="s">
        <v>56</v>
      </c>
      <c r="B8" s="2" t="s">
        <v>42</v>
      </c>
      <c r="C8" s="2" t="s">
        <v>43</v>
      </c>
      <c r="D8" s="2" t="s">
        <v>57</v>
      </c>
      <c r="E8" s="2" t="s">
        <v>21</v>
      </c>
      <c r="F8" s="2" t="s">
        <v>58</v>
      </c>
      <c r="G8" s="2" t="s">
        <v>59</v>
      </c>
      <c r="H8" s="2">
        <v>38</v>
      </c>
      <c r="I8" s="3">
        <v>8330.4500000000007</v>
      </c>
      <c r="J8" s="3">
        <v>316557.09999999998</v>
      </c>
      <c r="K8" s="3">
        <v>259576.82</v>
      </c>
      <c r="L8" s="3">
        <v>56980.28</v>
      </c>
      <c r="M8" s="2" t="s">
        <v>24</v>
      </c>
      <c r="N8" s="2" t="s">
        <v>40</v>
      </c>
      <c r="O8" s="3">
        <v>294937.40999999997</v>
      </c>
      <c r="P8" s="4">
        <v>107.33</v>
      </c>
      <c r="Q8" s="4">
        <v>17.23</v>
      </c>
    </row>
    <row r="9" spans="1:17" ht="15" customHeight="1" x14ac:dyDescent="0.3">
      <c r="A9" s="5" t="s">
        <v>60</v>
      </c>
      <c r="B9" s="5" t="s">
        <v>48</v>
      </c>
      <c r="C9" s="5" t="s">
        <v>34</v>
      </c>
      <c r="D9" s="5" t="s">
        <v>61</v>
      </c>
      <c r="E9" s="5" t="s">
        <v>36</v>
      </c>
      <c r="F9" s="5" t="s">
        <v>30</v>
      </c>
      <c r="G9" s="5" t="s">
        <v>62</v>
      </c>
      <c r="H9" s="5">
        <v>31</v>
      </c>
      <c r="I9" s="6">
        <v>43512.32</v>
      </c>
      <c r="J9" s="6">
        <v>1348881.92</v>
      </c>
      <c r="K9" s="6">
        <v>1079105.54</v>
      </c>
      <c r="L9" s="6">
        <v>269776.38</v>
      </c>
      <c r="M9" s="5" t="s">
        <v>39</v>
      </c>
      <c r="N9" s="5" t="s">
        <v>40</v>
      </c>
      <c r="O9" s="6">
        <v>1443986.23</v>
      </c>
      <c r="P9" s="7">
        <v>93.41</v>
      </c>
      <c r="Q9" s="7">
        <v>2.2599999999999998</v>
      </c>
    </row>
    <row r="10" spans="1:17" ht="15" customHeight="1" x14ac:dyDescent="0.3">
      <c r="A10" s="2" t="s">
        <v>63</v>
      </c>
      <c r="B10" s="2" t="s">
        <v>64</v>
      </c>
      <c r="C10" s="2" t="s">
        <v>43</v>
      </c>
      <c r="D10" s="2" t="s">
        <v>65</v>
      </c>
      <c r="E10" s="2" t="s">
        <v>66</v>
      </c>
      <c r="F10" s="2" t="s">
        <v>30</v>
      </c>
      <c r="G10" s="2" t="s">
        <v>67</v>
      </c>
      <c r="H10" s="2">
        <v>3</v>
      </c>
      <c r="I10" s="3">
        <v>34617.94</v>
      </c>
      <c r="J10" s="3">
        <v>103853.82</v>
      </c>
      <c r="K10" s="3">
        <v>83083.06</v>
      </c>
      <c r="L10" s="3">
        <v>20770.759999999998</v>
      </c>
      <c r="M10" s="2" t="s">
        <v>24</v>
      </c>
      <c r="N10" s="2" t="s">
        <v>40</v>
      </c>
      <c r="O10" s="3">
        <v>115001.1</v>
      </c>
      <c r="P10" s="4">
        <v>90.31</v>
      </c>
      <c r="Q10" s="4">
        <v>-13.6</v>
      </c>
    </row>
    <row r="11" spans="1:17" ht="15" customHeight="1" x14ac:dyDescent="0.3">
      <c r="A11" s="5" t="s">
        <v>68</v>
      </c>
      <c r="B11" s="5" t="s">
        <v>69</v>
      </c>
      <c r="C11" s="5" t="s">
        <v>49</v>
      </c>
      <c r="D11" s="5" t="s">
        <v>70</v>
      </c>
      <c r="E11" s="5" t="s">
        <v>71</v>
      </c>
      <c r="F11" s="5" t="s">
        <v>22</v>
      </c>
      <c r="G11" s="5" t="s">
        <v>72</v>
      </c>
      <c r="H11" s="5">
        <v>14</v>
      </c>
      <c r="I11" s="6">
        <v>4054.7</v>
      </c>
      <c r="J11" s="6">
        <v>56765.8</v>
      </c>
      <c r="K11" s="6">
        <v>31221.19</v>
      </c>
      <c r="L11" s="6">
        <v>25544.61</v>
      </c>
      <c r="M11" s="5" t="s">
        <v>24</v>
      </c>
      <c r="N11" s="5" t="s">
        <v>40</v>
      </c>
      <c r="O11" s="6">
        <v>54569.11</v>
      </c>
      <c r="P11" s="7">
        <v>104.03</v>
      </c>
      <c r="Q11" s="7">
        <v>27.8</v>
      </c>
    </row>
    <row r="12" spans="1:17" ht="15" customHeight="1" x14ac:dyDescent="0.3">
      <c r="A12" s="2" t="s">
        <v>73</v>
      </c>
      <c r="B12" s="2" t="s">
        <v>74</v>
      </c>
      <c r="C12" s="2" t="s">
        <v>49</v>
      </c>
      <c r="D12" s="2" t="s">
        <v>75</v>
      </c>
      <c r="E12" s="2" t="s">
        <v>29</v>
      </c>
      <c r="F12" s="2" t="s">
        <v>37</v>
      </c>
      <c r="G12" s="2" t="s">
        <v>38</v>
      </c>
      <c r="H12" s="2">
        <v>47</v>
      </c>
      <c r="I12" s="3">
        <v>36658.89</v>
      </c>
      <c r="J12" s="3">
        <v>1722967.83</v>
      </c>
      <c r="K12" s="3">
        <v>1206077.48</v>
      </c>
      <c r="L12" s="3">
        <v>516890.35</v>
      </c>
      <c r="M12" s="2" t="s">
        <v>24</v>
      </c>
      <c r="N12" s="2" t="s">
        <v>25</v>
      </c>
      <c r="O12" s="3">
        <v>2038359.41</v>
      </c>
      <c r="P12" s="4">
        <v>84.53</v>
      </c>
      <c r="Q12" s="4">
        <v>-1.67</v>
      </c>
    </row>
    <row r="13" spans="1:17" ht="15" customHeight="1" x14ac:dyDescent="0.3">
      <c r="A13" s="5" t="s">
        <v>76</v>
      </c>
      <c r="B13" s="5" t="s">
        <v>42</v>
      </c>
      <c r="C13" s="5" t="s">
        <v>49</v>
      </c>
      <c r="D13" s="5" t="s">
        <v>77</v>
      </c>
      <c r="E13" s="5" t="s">
        <v>29</v>
      </c>
      <c r="F13" s="5" t="s">
        <v>37</v>
      </c>
      <c r="G13" s="5" t="s">
        <v>78</v>
      </c>
      <c r="H13" s="5">
        <v>22</v>
      </c>
      <c r="I13" s="6">
        <v>5819.49</v>
      </c>
      <c r="J13" s="6">
        <v>128028.78</v>
      </c>
      <c r="K13" s="6">
        <v>89620.15</v>
      </c>
      <c r="L13" s="6">
        <v>38408.629999999997</v>
      </c>
      <c r="M13" s="5" t="s">
        <v>24</v>
      </c>
      <c r="N13" s="5" t="s">
        <v>25</v>
      </c>
      <c r="O13" s="6">
        <v>135281.73000000001</v>
      </c>
      <c r="P13" s="7">
        <v>94.64</v>
      </c>
      <c r="Q13" s="7">
        <v>-6.4</v>
      </c>
    </row>
    <row r="14" spans="1:17" ht="15" customHeight="1" x14ac:dyDescent="0.3">
      <c r="A14" s="2" t="s">
        <v>79</v>
      </c>
      <c r="B14" s="2" t="s">
        <v>80</v>
      </c>
      <c r="C14" s="2" t="s">
        <v>43</v>
      </c>
      <c r="D14" s="2" t="s">
        <v>44</v>
      </c>
      <c r="E14" s="2" t="s">
        <v>45</v>
      </c>
      <c r="F14" s="2" t="s">
        <v>30</v>
      </c>
      <c r="G14" s="2" t="s">
        <v>67</v>
      </c>
      <c r="H14" s="2">
        <v>7</v>
      </c>
      <c r="I14" s="3">
        <v>35764.15</v>
      </c>
      <c r="J14" s="3">
        <v>250349.05</v>
      </c>
      <c r="K14" s="3">
        <v>200279.24</v>
      </c>
      <c r="L14" s="3">
        <v>50069.81</v>
      </c>
      <c r="M14" s="2" t="s">
        <v>24</v>
      </c>
      <c r="N14" s="2" t="s">
        <v>25</v>
      </c>
      <c r="O14" s="3">
        <v>228101.96</v>
      </c>
      <c r="P14" s="4">
        <v>109.75</v>
      </c>
      <c r="Q14" s="4">
        <v>19.309999999999999</v>
      </c>
    </row>
    <row r="15" spans="1:17" ht="15" customHeight="1" x14ac:dyDescent="0.3">
      <c r="A15" s="5" t="s">
        <v>79</v>
      </c>
      <c r="B15" s="5" t="s">
        <v>80</v>
      </c>
      <c r="C15" s="5" t="s">
        <v>19</v>
      </c>
      <c r="D15" s="5" t="s">
        <v>81</v>
      </c>
      <c r="E15" s="5" t="s">
        <v>29</v>
      </c>
      <c r="F15" s="5" t="s">
        <v>52</v>
      </c>
      <c r="G15" s="5" t="s">
        <v>82</v>
      </c>
      <c r="H15" s="5">
        <v>29</v>
      </c>
      <c r="I15" s="6">
        <v>110.32</v>
      </c>
      <c r="J15" s="6">
        <v>3199.28</v>
      </c>
      <c r="K15" s="6">
        <v>2815.37</v>
      </c>
      <c r="L15" s="6">
        <v>383.91</v>
      </c>
      <c r="M15" s="5" t="s">
        <v>24</v>
      </c>
      <c r="N15" s="5" t="s">
        <v>25</v>
      </c>
      <c r="O15" s="6">
        <v>3067.11</v>
      </c>
      <c r="P15" s="7">
        <v>104.31</v>
      </c>
      <c r="Q15" s="7">
        <v>-0.61</v>
      </c>
    </row>
    <row r="16" spans="1:17" ht="15" customHeight="1" x14ac:dyDescent="0.3">
      <c r="A16" s="2" t="s">
        <v>83</v>
      </c>
      <c r="B16" s="2" t="s">
        <v>69</v>
      </c>
      <c r="C16" s="2" t="s">
        <v>43</v>
      </c>
      <c r="D16" s="2" t="s">
        <v>57</v>
      </c>
      <c r="E16" s="2" t="s">
        <v>36</v>
      </c>
      <c r="F16" s="2" t="s">
        <v>37</v>
      </c>
      <c r="G16" s="2" t="s">
        <v>84</v>
      </c>
      <c r="H16" s="2">
        <v>15</v>
      </c>
      <c r="I16" s="3">
        <v>22270.65</v>
      </c>
      <c r="J16" s="3">
        <v>334059.75</v>
      </c>
      <c r="K16" s="3">
        <v>233841.82</v>
      </c>
      <c r="L16" s="3">
        <v>100217.93</v>
      </c>
      <c r="M16" s="2" t="s">
        <v>24</v>
      </c>
      <c r="N16" s="2" t="s">
        <v>25</v>
      </c>
      <c r="O16" s="3">
        <v>385345.59</v>
      </c>
      <c r="P16" s="4">
        <v>86.69</v>
      </c>
      <c r="Q16" s="4">
        <v>-7.82</v>
      </c>
    </row>
    <row r="17" spans="1:17" ht="15" customHeight="1" x14ac:dyDescent="0.3">
      <c r="A17" s="5" t="s">
        <v>85</v>
      </c>
      <c r="B17" s="5" t="s">
        <v>74</v>
      </c>
      <c r="C17" s="5" t="s">
        <v>49</v>
      </c>
      <c r="D17" s="5" t="s">
        <v>50</v>
      </c>
      <c r="E17" s="5" t="s">
        <v>21</v>
      </c>
      <c r="F17" s="5" t="s">
        <v>22</v>
      </c>
      <c r="G17" s="5" t="s">
        <v>86</v>
      </c>
      <c r="H17" s="5">
        <v>7</v>
      </c>
      <c r="I17" s="6">
        <v>2251.6999999999998</v>
      </c>
      <c r="J17" s="6">
        <v>15761.9</v>
      </c>
      <c r="K17" s="6">
        <v>8669.0499999999993</v>
      </c>
      <c r="L17" s="6">
        <v>7092.85</v>
      </c>
      <c r="M17" s="5" t="s">
        <v>39</v>
      </c>
      <c r="N17" s="5" t="s">
        <v>40</v>
      </c>
      <c r="O17" s="6">
        <v>18369.61</v>
      </c>
      <c r="P17" s="7">
        <v>85.8</v>
      </c>
      <c r="Q17" s="7">
        <v>-13.5</v>
      </c>
    </row>
    <row r="18" spans="1:17" ht="15" customHeight="1" x14ac:dyDescent="0.3">
      <c r="A18" s="2" t="s">
        <v>87</v>
      </c>
      <c r="B18" s="2" t="s">
        <v>42</v>
      </c>
      <c r="C18" s="2" t="s">
        <v>43</v>
      </c>
      <c r="D18" s="2" t="s">
        <v>65</v>
      </c>
      <c r="E18" s="2" t="s">
        <v>51</v>
      </c>
      <c r="F18" s="2" t="s">
        <v>37</v>
      </c>
      <c r="G18" s="2" t="s">
        <v>78</v>
      </c>
      <c r="H18" s="2">
        <v>3</v>
      </c>
      <c r="I18" s="3">
        <v>5886.56</v>
      </c>
      <c r="J18" s="3">
        <v>17659.68</v>
      </c>
      <c r="K18" s="3">
        <v>12361.78</v>
      </c>
      <c r="L18" s="3">
        <v>5297.9</v>
      </c>
      <c r="M18" s="2" t="s">
        <v>39</v>
      </c>
      <c r="N18" s="2" t="s">
        <v>40</v>
      </c>
      <c r="O18" s="3">
        <v>17542.87</v>
      </c>
      <c r="P18" s="4">
        <v>100.67</v>
      </c>
      <c r="Q18" s="4">
        <v>4.38</v>
      </c>
    </row>
    <row r="19" spans="1:17" ht="15" customHeight="1" x14ac:dyDescent="0.3">
      <c r="A19" s="5" t="s">
        <v>88</v>
      </c>
      <c r="B19" s="5" t="s">
        <v>80</v>
      </c>
      <c r="C19" s="5" t="s">
        <v>43</v>
      </c>
      <c r="D19" s="5" t="s">
        <v>57</v>
      </c>
      <c r="E19" s="5" t="s">
        <v>29</v>
      </c>
      <c r="F19" s="5" t="s">
        <v>37</v>
      </c>
      <c r="G19" s="5" t="s">
        <v>84</v>
      </c>
      <c r="H19" s="5">
        <v>9</v>
      </c>
      <c r="I19" s="6">
        <v>24932.93</v>
      </c>
      <c r="J19" s="6">
        <v>224396.37</v>
      </c>
      <c r="K19" s="6">
        <v>157077.46</v>
      </c>
      <c r="L19" s="6">
        <v>67318.91</v>
      </c>
      <c r="M19" s="5" t="s">
        <v>39</v>
      </c>
      <c r="N19" s="5" t="s">
        <v>25</v>
      </c>
      <c r="O19" s="6">
        <v>223905.13</v>
      </c>
      <c r="P19" s="7">
        <v>100.22</v>
      </c>
      <c r="Q19" s="7">
        <v>-7.9</v>
      </c>
    </row>
    <row r="20" spans="1:17" ht="15" customHeight="1" x14ac:dyDescent="0.3">
      <c r="A20" s="2" t="s">
        <v>88</v>
      </c>
      <c r="B20" s="2" t="s">
        <v>80</v>
      </c>
      <c r="C20" s="2" t="s">
        <v>34</v>
      </c>
      <c r="D20" s="2" t="s">
        <v>61</v>
      </c>
      <c r="E20" s="2" t="s">
        <v>54</v>
      </c>
      <c r="F20" s="2" t="s">
        <v>58</v>
      </c>
      <c r="G20" s="2" t="s">
        <v>89</v>
      </c>
      <c r="H20" s="2">
        <v>29</v>
      </c>
      <c r="I20" s="3">
        <v>30335.22</v>
      </c>
      <c r="J20" s="3">
        <v>879721.38</v>
      </c>
      <c r="K20" s="3">
        <v>721371.53</v>
      </c>
      <c r="L20" s="3">
        <v>158349.85</v>
      </c>
      <c r="M20" s="2" t="s">
        <v>39</v>
      </c>
      <c r="N20" s="2" t="s">
        <v>40</v>
      </c>
      <c r="O20" s="3">
        <v>782724.93</v>
      </c>
      <c r="P20" s="4">
        <v>112.39</v>
      </c>
      <c r="Q20" s="4">
        <v>15.86</v>
      </c>
    </row>
    <row r="21" spans="1:17" ht="15" customHeight="1" x14ac:dyDescent="0.3">
      <c r="A21" s="5" t="s">
        <v>90</v>
      </c>
      <c r="B21" s="5" t="s">
        <v>69</v>
      </c>
      <c r="C21" s="5" t="s">
        <v>43</v>
      </c>
      <c r="D21" s="5" t="s">
        <v>65</v>
      </c>
      <c r="E21" s="5" t="s">
        <v>51</v>
      </c>
      <c r="F21" s="5" t="s">
        <v>22</v>
      </c>
      <c r="G21" s="5" t="s">
        <v>91</v>
      </c>
      <c r="H21" s="5">
        <v>22</v>
      </c>
      <c r="I21" s="6">
        <v>1311.34</v>
      </c>
      <c r="J21" s="6">
        <v>28849.48</v>
      </c>
      <c r="K21" s="6">
        <v>15867.21</v>
      </c>
      <c r="L21" s="6">
        <v>12982.27</v>
      </c>
      <c r="M21" s="5" t="s">
        <v>24</v>
      </c>
      <c r="N21" s="5" t="s">
        <v>25</v>
      </c>
      <c r="O21" s="6">
        <v>33075.71</v>
      </c>
      <c r="P21" s="7">
        <v>87.22</v>
      </c>
      <c r="Q21" s="7">
        <v>9.83</v>
      </c>
    </row>
    <row r="22" spans="1:17" ht="15" customHeight="1" x14ac:dyDescent="0.3">
      <c r="A22" s="2" t="s">
        <v>92</v>
      </c>
      <c r="B22" s="2" t="s">
        <v>27</v>
      </c>
      <c r="C22" s="2" t="s">
        <v>19</v>
      </c>
      <c r="D22" s="2" t="s">
        <v>20</v>
      </c>
      <c r="E22" s="2" t="s">
        <v>29</v>
      </c>
      <c r="F22" s="2" t="s">
        <v>22</v>
      </c>
      <c r="G22" s="2" t="s">
        <v>93</v>
      </c>
      <c r="H22" s="2">
        <v>43</v>
      </c>
      <c r="I22" s="3">
        <v>2505.25</v>
      </c>
      <c r="J22" s="3">
        <v>107725.75</v>
      </c>
      <c r="K22" s="3">
        <v>59249.16</v>
      </c>
      <c r="L22" s="3">
        <v>48476.59</v>
      </c>
      <c r="M22" s="2" t="s">
        <v>24</v>
      </c>
      <c r="N22" s="2" t="s">
        <v>40</v>
      </c>
      <c r="O22" s="3">
        <v>115456.69</v>
      </c>
      <c r="P22" s="4">
        <v>93.3</v>
      </c>
      <c r="Q22" s="4">
        <v>-6.37</v>
      </c>
    </row>
    <row r="23" spans="1:17" ht="15" customHeight="1" x14ac:dyDescent="0.3">
      <c r="A23" s="5" t="s">
        <v>94</v>
      </c>
      <c r="B23" s="5" t="s">
        <v>95</v>
      </c>
      <c r="C23" s="5" t="s">
        <v>49</v>
      </c>
      <c r="D23" s="5" t="s">
        <v>50</v>
      </c>
      <c r="E23" s="5" t="s">
        <v>96</v>
      </c>
      <c r="F23" s="5" t="s">
        <v>37</v>
      </c>
      <c r="G23" s="5" t="s">
        <v>97</v>
      </c>
      <c r="H23" s="5">
        <v>46</v>
      </c>
      <c r="I23" s="6">
        <v>12693.31</v>
      </c>
      <c r="J23" s="6">
        <v>583892.26</v>
      </c>
      <c r="K23" s="6">
        <v>408724.58</v>
      </c>
      <c r="L23" s="6">
        <v>175167.68</v>
      </c>
      <c r="M23" s="5" t="s">
        <v>39</v>
      </c>
      <c r="N23" s="5" t="s">
        <v>25</v>
      </c>
      <c r="O23" s="6">
        <v>707775.52</v>
      </c>
      <c r="P23" s="7">
        <v>82.5</v>
      </c>
      <c r="Q23" s="7">
        <v>23.68</v>
      </c>
    </row>
    <row r="24" spans="1:17" ht="15" customHeight="1" x14ac:dyDescent="0.3">
      <c r="A24" s="2" t="s">
        <v>98</v>
      </c>
      <c r="B24" s="2" t="s">
        <v>42</v>
      </c>
      <c r="C24" s="2" t="s">
        <v>49</v>
      </c>
      <c r="D24" s="2" t="s">
        <v>70</v>
      </c>
      <c r="E24" s="2" t="s">
        <v>99</v>
      </c>
      <c r="F24" s="2" t="s">
        <v>30</v>
      </c>
      <c r="G24" s="2" t="s">
        <v>100</v>
      </c>
      <c r="H24" s="2">
        <v>5</v>
      </c>
      <c r="I24" s="3">
        <v>44047.87</v>
      </c>
      <c r="J24" s="3">
        <v>220239.35</v>
      </c>
      <c r="K24" s="3">
        <v>176191.48</v>
      </c>
      <c r="L24" s="3">
        <v>44047.87</v>
      </c>
      <c r="M24" s="2" t="s">
        <v>39</v>
      </c>
      <c r="N24" s="2" t="s">
        <v>40</v>
      </c>
      <c r="O24" s="3">
        <v>197764.95</v>
      </c>
      <c r="P24" s="4">
        <v>111.36</v>
      </c>
      <c r="Q24" s="4">
        <v>25.06</v>
      </c>
    </row>
    <row r="25" spans="1:17" ht="15" customHeight="1" x14ac:dyDescent="0.3">
      <c r="A25" s="5" t="s">
        <v>101</v>
      </c>
      <c r="B25" s="5" t="s">
        <v>18</v>
      </c>
      <c r="C25" s="5" t="s">
        <v>49</v>
      </c>
      <c r="D25" s="5" t="s">
        <v>102</v>
      </c>
      <c r="E25" s="5" t="s">
        <v>45</v>
      </c>
      <c r="F25" s="5" t="s">
        <v>52</v>
      </c>
      <c r="G25" s="5" t="s">
        <v>82</v>
      </c>
      <c r="H25" s="5">
        <v>9</v>
      </c>
      <c r="I25" s="6">
        <v>129.69999999999999</v>
      </c>
      <c r="J25" s="6">
        <v>1167.3</v>
      </c>
      <c r="K25" s="6">
        <v>1027.22</v>
      </c>
      <c r="L25" s="6">
        <v>140.08000000000001</v>
      </c>
      <c r="M25" s="5" t="s">
        <v>24</v>
      </c>
      <c r="N25" s="5" t="s">
        <v>25</v>
      </c>
      <c r="O25" s="6">
        <v>1358.56</v>
      </c>
      <c r="P25" s="7">
        <v>85.92</v>
      </c>
      <c r="Q25" s="7">
        <v>21.34</v>
      </c>
    </row>
    <row r="26" spans="1:17" ht="15" customHeight="1" x14ac:dyDescent="0.3">
      <c r="A26" s="2" t="s">
        <v>103</v>
      </c>
      <c r="B26" s="2" t="s">
        <v>95</v>
      </c>
      <c r="C26" s="2" t="s">
        <v>19</v>
      </c>
      <c r="D26" s="2" t="s">
        <v>20</v>
      </c>
      <c r="E26" s="2" t="s">
        <v>54</v>
      </c>
      <c r="F26" s="2" t="s">
        <v>37</v>
      </c>
      <c r="G26" s="2" t="s">
        <v>78</v>
      </c>
      <c r="H26" s="2">
        <v>13</v>
      </c>
      <c r="I26" s="3">
        <v>5621.03</v>
      </c>
      <c r="J26" s="3">
        <v>73073.39</v>
      </c>
      <c r="K26" s="3">
        <v>51151.37</v>
      </c>
      <c r="L26" s="3">
        <v>21922.02</v>
      </c>
      <c r="M26" s="2" t="s">
        <v>39</v>
      </c>
      <c r="N26" s="2" t="s">
        <v>25</v>
      </c>
      <c r="O26" s="3">
        <v>90872.2</v>
      </c>
      <c r="P26" s="4">
        <v>80.41</v>
      </c>
      <c r="Q26" s="4">
        <v>12.51</v>
      </c>
    </row>
    <row r="27" spans="1:17" ht="15" customHeight="1" x14ac:dyDescent="0.3">
      <c r="A27" s="5" t="s">
        <v>104</v>
      </c>
      <c r="B27" s="5" t="s">
        <v>33</v>
      </c>
      <c r="C27" s="5" t="s">
        <v>19</v>
      </c>
      <c r="D27" s="5" t="s">
        <v>20</v>
      </c>
      <c r="E27" s="5" t="s">
        <v>54</v>
      </c>
      <c r="F27" s="5" t="s">
        <v>22</v>
      </c>
      <c r="G27" s="5" t="s">
        <v>93</v>
      </c>
      <c r="H27" s="5">
        <v>28</v>
      </c>
      <c r="I27" s="6">
        <v>2778.22</v>
      </c>
      <c r="J27" s="6">
        <v>77790.16</v>
      </c>
      <c r="K27" s="6">
        <v>42784.59</v>
      </c>
      <c r="L27" s="6">
        <v>35005.57</v>
      </c>
      <c r="M27" s="5" t="s">
        <v>39</v>
      </c>
      <c r="N27" s="5" t="s">
        <v>40</v>
      </c>
      <c r="O27" s="6">
        <v>67022.55</v>
      </c>
      <c r="P27" s="7">
        <v>116.07</v>
      </c>
      <c r="Q27" s="7">
        <v>-2.7</v>
      </c>
    </row>
    <row r="28" spans="1:17" ht="15" customHeight="1" x14ac:dyDescent="0.3">
      <c r="A28" s="2" t="s">
        <v>105</v>
      </c>
      <c r="B28" s="2" t="s">
        <v>106</v>
      </c>
      <c r="C28" s="2" t="s">
        <v>19</v>
      </c>
      <c r="D28" s="2" t="s">
        <v>107</v>
      </c>
      <c r="E28" s="2" t="s">
        <v>96</v>
      </c>
      <c r="F28" s="2" t="s">
        <v>37</v>
      </c>
      <c r="G28" s="2" t="s">
        <v>38</v>
      </c>
      <c r="H28" s="2">
        <v>6</v>
      </c>
      <c r="I28" s="3">
        <v>38778</v>
      </c>
      <c r="J28" s="3">
        <v>232668</v>
      </c>
      <c r="K28" s="3">
        <v>162867.6</v>
      </c>
      <c r="L28" s="3">
        <v>69800.399999999994</v>
      </c>
      <c r="M28" s="2" t="s">
        <v>39</v>
      </c>
      <c r="N28" s="2" t="s">
        <v>40</v>
      </c>
      <c r="O28" s="3">
        <v>206754.78</v>
      </c>
      <c r="P28" s="4">
        <v>112.53</v>
      </c>
      <c r="Q28" s="4">
        <v>18.25</v>
      </c>
    </row>
    <row r="29" spans="1:17" ht="15" customHeight="1" x14ac:dyDescent="0.3">
      <c r="A29" s="5" t="s">
        <v>108</v>
      </c>
      <c r="B29" s="5" t="s">
        <v>48</v>
      </c>
      <c r="C29" s="5" t="s">
        <v>34</v>
      </c>
      <c r="D29" s="5" t="s">
        <v>35</v>
      </c>
      <c r="E29" s="5" t="s">
        <v>45</v>
      </c>
      <c r="F29" s="5" t="s">
        <v>37</v>
      </c>
      <c r="G29" s="5" t="s">
        <v>78</v>
      </c>
      <c r="H29" s="5">
        <v>9</v>
      </c>
      <c r="I29" s="6">
        <v>6791.51</v>
      </c>
      <c r="J29" s="6">
        <v>61123.59</v>
      </c>
      <c r="K29" s="6">
        <v>42786.51</v>
      </c>
      <c r="L29" s="6">
        <v>18337.080000000002</v>
      </c>
      <c r="M29" s="5" t="s">
        <v>24</v>
      </c>
      <c r="N29" s="5" t="s">
        <v>40</v>
      </c>
      <c r="O29" s="6">
        <v>54923.85</v>
      </c>
      <c r="P29" s="7">
        <v>111.29</v>
      </c>
      <c r="Q29" s="7">
        <v>28.79</v>
      </c>
    </row>
    <row r="30" spans="1:17" ht="15" customHeight="1" x14ac:dyDescent="0.3">
      <c r="A30" s="2" t="s">
        <v>109</v>
      </c>
      <c r="B30" s="2" t="s">
        <v>64</v>
      </c>
      <c r="C30" s="2" t="s">
        <v>43</v>
      </c>
      <c r="D30" s="2" t="s">
        <v>57</v>
      </c>
      <c r="E30" s="2" t="s">
        <v>45</v>
      </c>
      <c r="F30" s="2" t="s">
        <v>58</v>
      </c>
      <c r="G30" s="2" t="s">
        <v>89</v>
      </c>
      <c r="H30" s="2">
        <v>28</v>
      </c>
      <c r="I30" s="3">
        <v>31961.41</v>
      </c>
      <c r="J30" s="3">
        <v>894919.48</v>
      </c>
      <c r="K30" s="3">
        <v>733833.97</v>
      </c>
      <c r="L30" s="3">
        <v>161085.51</v>
      </c>
      <c r="M30" s="2" t="s">
        <v>39</v>
      </c>
      <c r="N30" s="2" t="s">
        <v>40</v>
      </c>
      <c r="O30" s="3">
        <v>765210.62</v>
      </c>
      <c r="P30" s="4">
        <v>116.95</v>
      </c>
      <c r="Q30" s="4">
        <v>3.9</v>
      </c>
    </row>
    <row r="31" spans="1:17" ht="15" customHeight="1" x14ac:dyDescent="0.3">
      <c r="A31" s="5" t="s">
        <v>110</v>
      </c>
      <c r="B31" s="5" t="s">
        <v>27</v>
      </c>
      <c r="C31" s="5" t="s">
        <v>34</v>
      </c>
      <c r="D31" s="5" t="s">
        <v>111</v>
      </c>
      <c r="E31" s="5" t="s">
        <v>66</v>
      </c>
      <c r="F31" s="5" t="s">
        <v>30</v>
      </c>
      <c r="G31" s="5" t="s">
        <v>31</v>
      </c>
      <c r="H31" s="5">
        <v>15</v>
      </c>
      <c r="I31" s="6">
        <v>3577.2</v>
      </c>
      <c r="J31" s="6">
        <v>53658</v>
      </c>
      <c r="K31" s="6">
        <v>42926.400000000001</v>
      </c>
      <c r="L31" s="6">
        <v>10731.6</v>
      </c>
      <c r="M31" s="5" t="s">
        <v>24</v>
      </c>
      <c r="N31" s="5" t="s">
        <v>40</v>
      </c>
      <c r="O31" s="6">
        <v>56032.73</v>
      </c>
      <c r="P31" s="7">
        <v>95.76</v>
      </c>
      <c r="Q31" s="7">
        <v>2.5</v>
      </c>
    </row>
    <row r="32" spans="1:17" ht="15" customHeight="1" x14ac:dyDescent="0.3">
      <c r="A32" s="2" t="s">
        <v>112</v>
      </c>
      <c r="B32" s="2" t="s">
        <v>113</v>
      </c>
      <c r="C32" s="2" t="s">
        <v>49</v>
      </c>
      <c r="D32" s="2" t="s">
        <v>77</v>
      </c>
      <c r="E32" s="2" t="s">
        <v>45</v>
      </c>
      <c r="F32" s="2" t="s">
        <v>58</v>
      </c>
      <c r="G32" s="2" t="s">
        <v>114</v>
      </c>
      <c r="H32" s="2">
        <v>38</v>
      </c>
      <c r="I32" s="3">
        <v>24574.97</v>
      </c>
      <c r="J32" s="3">
        <v>933848.86</v>
      </c>
      <c r="K32" s="3">
        <v>765756.07</v>
      </c>
      <c r="L32" s="3">
        <v>168092.79</v>
      </c>
      <c r="M32" s="2" t="s">
        <v>39</v>
      </c>
      <c r="N32" s="2" t="s">
        <v>40</v>
      </c>
      <c r="O32" s="3">
        <v>831017.79</v>
      </c>
      <c r="P32" s="4">
        <v>112.37</v>
      </c>
      <c r="Q32" s="4">
        <v>25.97</v>
      </c>
    </row>
    <row r="33" spans="1:17" ht="15" customHeight="1" x14ac:dyDescent="0.3">
      <c r="A33" s="5" t="s">
        <v>115</v>
      </c>
      <c r="B33" s="5" t="s">
        <v>64</v>
      </c>
      <c r="C33" s="5" t="s">
        <v>49</v>
      </c>
      <c r="D33" s="5" t="s">
        <v>102</v>
      </c>
      <c r="E33" s="5" t="s">
        <v>99</v>
      </c>
      <c r="F33" s="5" t="s">
        <v>58</v>
      </c>
      <c r="G33" s="5" t="s">
        <v>116</v>
      </c>
      <c r="H33" s="5">
        <v>18</v>
      </c>
      <c r="I33" s="6">
        <v>4101.21</v>
      </c>
      <c r="J33" s="6">
        <v>73821.78</v>
      </c>
      <c r="K33" s="6">
        <v>60533.86</v>
      </c>
      <c r="L33" s="6">
        <v>13287.92</v>
      </c>
      <c r="M33" s="5" t="s">
        <v>39</v>
      </c>
      <c r="N33" s="5" t="s">
        <v>40</v>
      </c>
      <c r="O33" s="6">
        <v>83342.350000000006</v>
      </c>
      <c r="P33" s="7">
        <v>88.58</v>
      </c>
      <c r="Q33" s="7">
        <v>-9.32</v>
      </c>
    </row>
    <row r="34" spans="1:17" ht="15" customHeight="1" x14ac:dyDescent="0.3">
      <c r="A34" s="2" t="s">
        <v>117</v>
      </c>
      <c r="B34" s="2" t="s">
        <v>27</v>
      </c>
      <c r="C34" s="2" t="s">
        <v>34</v>
      </c>
      <c r="D34" s="2" t="s">
        <v>61</v>
      </c>
      <c r="E34" s="2" t="s">
        <v>36</v>
      </c>
      <c r="F34" s="2" t="s">
        <v>37</v>
      </c>
      <c r="G34" s="2" t="s">
        <v>84</v>
      </c>
      <c r="H34" s="2">
        <v>41</v>
      </c>
      <c r="I34" s="3">
        <v>24278.35</v>
      </c>
      <c r="J34" s="3">
        <v>995412.35</v>
      </c>
      <c r="K34" s="3">
        <v>696788.64</v>
      </c>
      <c r="L34" s="3">
        <v>298623.71000000002</v>
      </c>
      <c r="M34" s="2" t="s">
        <v>39</v>
      </c>
      <c r="N34" s="2" t="s">
        <v>40</v>
      </c>
      <c r="O34" s="3">
        <v>984646.39</v>
      </c>
      <c r="P34" s="4">
        <v>101.09</v>
      </c>
      <c r="Q34" s="4">
        <v>0</v>
      </c>
    </row>
    <row r="35" spans="1:17" ht="15" customHeight="1" x14ac:dyDescent="0.3">
      <c r="A35" s="5" t="s">
        <v>118</v>
      </c>
      <c r="B35" s="5" t="s">
        <v>74</v>
      </c>
      <c r="C35" s="5" t="s">
        <v>19</v>
      </c>
      <c r="D35" s="5" t="s">
        <v>20</v>
      </c>
      <c r="E35" s="5" t="s">
        <v>29</v>
      </c>
      <c r="F35" s="5" t="s">
        <v>52</v>
      </c>
      <c r="G35" s="5" t="s">
        <v>53</v>
      </c>
      <c r="H35" s="5">
        <v>35</v>
      </c>
      <c r="I35" s="6">
        <v>167.56</v>
      </c>
      <c r="J35" s="6">
        <v>5864.6</v>
      </c>
      <c r="K35" s="6">
        <v>5160.8500000000004</v>
      </c>
      <c r="L35" s="6">
        <v>703.75</v>
      </c>
      <c r="M35" s="5" t="s">
        <v>24</v>
      </c>
      <c r="N35" s="5" t="s">
        <v>40</v>
      </c>
      <c r="O35" s="6">
        <v>6356.19</v>
      </c>
      <c r="P35" s="7">
        <v>92.27</v>
      </c>
      <c r="Q35" s="7">
        <v>22.01</v>
      </c>
    </row>
    <row r="36" spans="1:17" ht="15" customHeight="1" x14ac:dyDescent="0.3">
      <c r="A36" s="2" t="s">
        <v>119</v>
      </c>
      <c r="B36" s="2" t="s">
        <v>33</v>
      </c>
      <c r="C36" s="2" t="s">
        <v>49</v>
      </c>
      <c r="D36" s="2" t="s">
        <v>77</v>
      </c>
      <c r="E36" s="2" t="s">
        <v>36</v>
      </c>
      <c r="F36" s="2" t="s">
        <v>52</v>
      </c>
      <c r="G36" s="2" t="s">
        <v>82</v>
      </c>
      <c r="H36" s="2">
        <v>22</v>
      </c>
      <c r="I36" s="3">
        <v>132.82</v>
      </c>
      <c r="J36" s="3">
        <v>2922.04</v>
      </c>
      <c r="K36" s="3">
        <v>2571.4</v>
      </c>
      <c r="L36" s="3">
        <v>350.64</v>
      </c>
      <c r="M36" s="2" t="s">
        <v>24</v>
      </c>
      <c r="N36" s="2" t="s">
        <v>40</v>
      </c>
      <c r="O36" s="3">
        <v>3336.52</v>
      </c>
      <c r="P36" s="4">
        <v>87.58</v>
      </c>
      <c r="Q36" s="4">
        <v>-0.94</v>
      </c>
    </row>
    <row r="37" spans="1:17" ht="15" customHeight="1" x14ac:dyDescent="0.3">
      <c r="A37" s="5" t="s">
        <v>120</v>
      </c>
      <c r="B37" s="5" t="s">
        <v>64</v>
      </c>
      <c r="C37" s="5" t="s">
        <v>49</v>
      </c>
      <c r="D37" s="5" t="s">
        <v>75</v>
      </c>
      <c r="E37" s="5" t="s">
        <v>29</v>
      </c>
      <c r="F37" s="5" t="s">
        <v>58</v>
      </c>
      <c r="G37" s="5" t="s">
        <v>114</v>
      </c>
      <c r="H37" s="5">
        <v>13</v>
      </c>
      <c r="I37" s="6">
        <v>23584.37</v>
      </c>
      <c r="J37" s="6">
        <v>306596.81</v>
      </c>
      <c r="K37" s="6">
        <v>251409.38</v>
      </c>
      <c r="L37" s="6">
        <v>55187.43</v>
      </c>
      <c r="M37" s="5" t="s">
        <v>39</v>
      </c>
      <c r="N37" s="5" t="s">
        <v>25</v>
      </c>
      <c r="O37" s="6">
        <v>282332.26</v>
      </c>
      <c r="P37" s="7">
        <v>108.59</v>
      </c>
      <c r="Q37" s="7">
        <v>19.78</v>
      </c>
    </row>
    <row r="38" spans="1:17" ht="15" customHeight="1" x14ac:dyDescent="0.3">
      <c r="A38" s="2" t="s">
        <v>121</v>
      </c>
      <c r="B38" s="2" t="s">
        <v>95</v>
      </c>
      <c r="C38" s="2" t="s">
        <v>43</v>
      </c>
      <c r="D38" s="2" t="s">
        <v>57</v>
      </c>
      <c r="E38" s="2" t="s">
        <v>51</v>
      </c>
      <c r="F38" s="2" t="s">
        <v>22</v>
      </c>
      <c r="G38" s="2" t="s">
        <v>72</v>
      </c>
      <c r="H38" s="2">
        <v>8</v>
      </c>
      <c r="I38" s="3">
        <v>4529.1000000000004</v>
      </c>
      <c r="J38" s="3">
        <v>36232.800000000003</v>
      </c>
      <c r="K38" s="3">
        <v>19928.04</v>
      </c>
      <c r="L38" s="3">
        <v>16304.76</v>
      </c>
      <c r="M38" s="2" t="s">
        <v>24</v>
      </c>
      <c r="N38" s="2" t="s">
        <v>25</v>
      </c>
      <c r="O38" s="3">
        <v>31637.4</v>
      </c>
      <c r="P38" s="4">
        <v>114.53</v>
      </c>
      <c r="Q38" s="4">
        <v>24.51</v>
      </c>
    </row>
    <row r="39" spans="1:17" ht="15" customHeight="1" x14ac:dyDescent="0.3">
      <c r="A39" s="5" t="s">
        <v>122</v>
      </c>
      <c r="B39" s="5" t="s">
        <v>33</v>
      </c>
      <c r="C39" s="5" t="s">
        <v>49</v>
      </c>
      <c r="D39" s="5" t="s">
        <v>102</v>
      </c>
      <c r="E39" s="5" t="s">
        <v>51</v>
      </c>
      <c r="F39" s="5" t="s">
        <v>58</v>
      </c>
      <c r="G39" s="5" t="s">
        <v>114</v>
      </c>
      <c r="H39" s="5">
        <v>21</v>
      </c>
      <c r="I39" s="6">
        <v>25007.279999999999</v>
      </c>
      <c r="J39" s="6">
        <v>525152.88</v>
      </c>
      <c r="K39" s="6">
        <v>430625.36</v>
      </c>
      <c r="L39" s="6">
        <v>94527.52</v>
      </c>
      <c r="M39" s="5" t="s">
        <v>39</v>
      </c>
      <c r="N39" s="5" t="s">
        <v>25</v>
      </c>
      <c r="O39" s="6">
        <v>638194.37</v>
      </c>
      <c r="P39" s="7">
        <v>82.29</v>
      </c>
      <c r="Q39" s="7">
        <v>10.52</v>
      </c>
    </row>
    <row r="40" spans="1:17" ht="15" customHeight="1" x14ac:dyDescent="0.3">
      <c r="A40" s="2" t="s">
        <v>123</v>
      </c>
      <c r="B40" s="2" t="s">
        <v>106</v>
      </c>
      <c r="C40" s="2" t="s">
        <v>19</v>
      </c>
      <c r="D40" s="2" t="s">
        <v>28</v>
      </c>
      <c r="E40" s="2" t="s">
        <v>51</v>
      </c>
      <c r="F40" s="2" t="s">
        <v>58</v>
      </c>
      <c r="G40" s="2" t="s">
        <v>114</v>
      </c>
      <c r="H40" s="2">
        <v>3</v>
      </c>
      <c r="I40" s="3">
        <v>24402.28</v>
      </c>
      <c r="J40" s="3">
        <v>73206.84</v>
      </c>
      <c r="K40" s="3">
        <v>60029.61</v>
      </c>
      <c r="L40" s="3">
        <v>13177.23</v>
      </c>
      <c r="M40" s="2" t="s">
        <v>24</v>
      </c>
      <c r="N40" s="2" t="s">
        <v>25</v>
      </c>
      <c r="O40" s="3">
        <v>65071.86</v>
      </c>
      <c r="P40" s="4">
        <v>112.5</v>
      </c>
      <c r="Q40" s="4">
        <v>24.93</v>
      </c>
    </row>
    <row r="41" spans="1:17" ht="15" customHeight="1" x14ac:dyDescent="0.3">
      <c r="A41" s="5" t="s">
        <v>124</v>
      </c>
      <c r="B41" s="5" t="s">
        <v>80</v>
      </c>
      <c r="C41" s="5" t="s">
        <v>49</v>
      </c>
      <c r="D41" s="5" t="s">
        <v>102</v>
      </c>
      <c r="E41" s="5" t="s">
        <v>125</v>
      </c>
      <c r="F41" s="5" t="s">
        <v>52</v>
      </c>
      <c r="G41" s="5" t="s">
        <v>55</v>
      </c>
      <c r="H41" s="5">
        <v>34</v>
      </c>
      <c r="I41" s="6">
        <v>354.51</v>
      </c>
      <c r="J41" s="6">
        <v>12053.34</v>
      </c>
      <c r="K41" s="6">
        <v>10606.94</v>
      </c>
      <c r="L41" s="6">
        <v>1446.4</v>
      </c>
      <c r="M41" s="5" t="s">
        <v>39</v>
      </c>
      <c r="N41" s="5" t="s">
        <v>25</v>
      </c>
      <c r="O41" s="6">
        <v>10554.03</v>
      </c>
      <c r="P41" s="7">
        <v>114.21</v>
      </c>
      <c r="Q41" s="7">
        <v>-14.05</v>
      </c>
    </row>
    <row r="42" spans="1:17" ht="15" customHeight="1" x14ac:dyDescent="0.3">
      <c r="A42" s="2" t="s">
        <v>124</v>
      </c>
      <c r="B42" s="2" t="s">
        <v>80</v>
      </c>
      <c r="C42" s="2" t="s">
        <v>19</v>
      </c>
      <c r="D42" s="2" t="s">
        <v>81</v>
      </c>
      <c r="E42" s="2" t="s">
        <v>21</v>
      </c>
      <c r="F42" s="2" t="s">
        <v>30</v>
      </c>
      <c r="G42" s="2" t="s">
        <v>100</v>
      </c>
      <c r="H42" s="2">
        <v>36</v>
      </c>
      <c r="I42" s="3">
        <v>40943.480000000003</v>
      </c>
      <c r="J42" s="3">
        <v>1473965.28</v>
      </c>
      <c r="K42" s="3">
        <v>1179172.22</v>
      </c>
      <c r="L42" s="3">
        <v>294793.06</v>
      </c>
      <c r="M42" s="2" t="s">
        <v>39</v>
      </c>
      <c r="N42" s="2" t="s">
        <v>25</v>
      </c>
      <c r="O42" s="3">
        <v>1408795.92</v>
      </c>
      <c r="P42" s="4">
        <v>104.63</v>
      </c>
      <c r="Q42" s="4">
        <v>25.04</v>
      </c>
    </row>
    <row r="43" spans="1:17" ht="15" customHeight="1" x14ac:dyDescent="0.3">
      <c r="A43" s="5" t="s">
        <v>126</v>
      </c>
      <c r="B43" s="5" t="s">
        <v>69</v>
      </c>
      <c r="C43" s="5" t="s">
        <v>49</v>
      </c>
      <c r="D43" s="5" t="s">
        <v>77</v>
      </c>
      <c r="E43" s="5" t="s">
        <v>45</v>
      </c>
      <c r="F43" s="5" t="s">
        <v>30</v>
      </c>
      <c r="G43" s="5" t="s">
        <v>67</v>
      </c>
      <c r="H43" s="5">
        <v>36</v>
      </c>
      <c r="I43" s="6">
        <v>35466.83</v>
      </c>
      <c r="J43" s="6">
        <v>1276805.8799999999</v>
      </c>
      <c r="K43" s="6">
        <v>1021444.7</v>
      </c>
      <c r="L43" s="6">
        <v>255361.18</v>
      </c>
      <c r="M43" s="5" t="s">
        <v>24</v>
      </c>
      <c r="N43" s="5" t="s">
        <v>25</v>
      </c>
      <c r="O43" s="6">
        <v>1288078.1200000001</v>
      </c>
      <c r="P43" s="7">
        <v>99.12</v>
      </c>
      <c r="Q43" s="7">
        <v>18.39</v>
      </c>
    </row>
    <row r="44" spans="1:17" ht="15" customHeight="1" x14ac:dyDescent="0.3">
      <c r="A44" s="2" t="s">
        <v>127</v>
      </c>
      <c r="B44" s="2" t="s">
        <v>95</v>
      </c>
      <c r="C44" s="2" t="s">
        <v>34</v>
      </c>
      <c r="D44" s="2" t="s">
        <v>61</v>
      </c>
      <c r="E44" s="2" t="s">
        <v>51</v>
      </c>
      <c r="F44" s="2" t="s">
        <v>30</v>
      </c>
      <c r="G44" s="2" t="s">
        <v>31</v>
      </c>
      <c r="H44" s="2">
        <v>40</v>
      </c>
      <c r="I44" s="3">
        <v>3990.1</v>
      </c>
      <c r="J44" s="3">
        <v>159604</v>
      </c>
      <c r="K44" s="3">
        <v>127683.2</v>
      </c>
      <c r="L44" s="3">
        <v>31920.799999999999</v>
      </c>
      <c r="M44" s="2" t="s">
        <v>39</v>
      </c>
      <c r="N44" s="2" t="s">
        <v>25</v>
      </c>
      <c r="O44" s="3">
        <v>175597.28</v>
      </c>
      <c r="P44" s="4">
        <v>90.89</v>
      </c>
      <c r="Q44" s="4">
        <v>-3.09</v>
      </c>
    </row>
    <row r="45" spans="1:17" ht="15" customHeight="1" x14ac:dyDescent="0.3">
      <c r="A45" s="5" t="s">
        <v>128</v>
      </c>
      <c r="B45" s="5" t="s">
        <v>48</v>
      </c>
      <c r="C45" s="5" t="s">
        <v>34</v>
      </c>
      <c r="D45" s="5" t="s">
        <v>111</v>
      </c>
      <c r="E45" s="5" t="s">
        <v>36</v>
      </c>
      <c r="F45" s="5" t="s">
        <v>22</v>
      </c>
      <c r="G45" s="5" t="s">
        <v>93</v>
      </c>
      <c r="H45" s="5">
        <v>38</v>
      </c>
      <c r="I45" s="6">
        <v>2713.92</v>
      </c>
      <c r="J45" s="6">
        <v>103128.96000000001</v>
      </c>
      <c r="K45" s="6">
        <v>56720.93</v>
      </c>
      <c r="L45" s="6">
        <v>46408.03</v>
      </c>
      <c r="M45" s="5" t="s">
        <v>39</v>
      </c>
      <c r="N45" s="5" t="s">
        <v>40</v>
      </c>
      <c r="O45" s="6">
        <v>114676.18</v>
      </c>
      <c r="P45" s="7">
        <v>89.93</v>
      </c>
      <c r="Q45" s="7">
        <v>22.52</v>
      </c>
    </row>
    <row r="46" spans="1:17" ht="15" customHeight="1" x14ac:dyDescent="0.3">
      <c r="A46" s="2" t="s">
        <v>129</v>
      </c>
      <c r="B46" s="2" t="s">
        <v>80</v>
      </c>
      <c r="C46" s="2" t="s">
        <v>43</v>
      </c>
      <c r="D46" s="2" t="s">
        <v>130</v>
      </c>
      <c r="E46" s="2" t="s">
        <v>36</v>
      </c>
      <c r="F46" s="2" t="s">
        <v>52</v>
      </c>
      <c r="G46" s="2" t="s">
        <v>53</v>
      </c>
      <c r="H46" s="2">
        <v>17</v>
      </c>
      <c r="I46" s="3">
        <v>203.69</v>
      </c>
      <c r="J46" s="3">
        <v>3462.73</v>
      </c>
      <c r="K46" s="3">
        <v>3047.2</v>
      </c>
      <c r="L46" s="3">
        <v>415.53</v>
      </c>
      <c r="M46" s="2" t="s">
        <v>24</v>
      </c>
      <c r="N46" s="2" t="s">
        <v>40</v>
      </c>
      <c r="O46" s="3">
        <v>3529.22</v>
      </c>
      <c r="P46" s="4">
        <v>98.12</v>
      </c>
      <c r="Q46" s="4">
        <v>28.08</v>
      </c>
    </row>
    <row r="47" spans="1:17" ht="15" customHeight="1" x14ac:dyDescent="0.3">
      <c r="A47" s="5" t="s">
        <v>129</v>
      </c>
      <c r="B47" s="5" t="s">
        <v>80</v>
      </c>
      <c r="C47" s="5" t="s">
        <v>19</v>
      </c>
      <c r="D47" s="5" t="s">
        <v>107</v>
      </c>
      <c r="E47" s="5" t="s">
        <v>45</v>
      </c>
      <c r="F47" s="5" t="s">
        <v>58</v>
      </c>
      <c r="G47" s="5" t="s">
        <v>116</v>
      </c>
      <c r="H47" s="5">
        <v>14</v>
      </c>
      <c r="I47" s="6">
        <v>4224.07</v>
      </c>
      <c r="J47" s="6">
        <v>59136.98</v>
      </c>
      <c r="K47" s="6">
        <v>48492.32</v>
      </c>
      <c r="L47" s="6">
        <v>10644.66</v>
      </c>
      <c r="M47" s="5" t="s">
        <v>24</v>
      </c>
      <c r="N47" s="5" t="s">
        <v>25</v>
      </c>
      <c r="O47" s="6">
        <v>70308.539999999994</v>
      </c>
      <c r="P47" s="7">
        <v>84.11</v>
      </c>
      <c r="Q47" s="7">
        <v>0.76</v>
      </c>
    </row>
    <row r="48" spans="1:17" ht="15" customHeight="1" x14ac:dyDescent="0.3">
      <c r="A48" s="2" t="s">
        <v>131</v>
      </c>
      <c r="B48" s="2" t="s">
        <v>48</v>
      </c>
      <c r="C48" s="2" t="s">
        <v>49</v>
      </c>
      <c r="D48" s="2" t="s">
        <v>77</v>
      </c>
      <c r="E48" s="2" t="s">
        <v>71</v>
      </c>
      <c r="F48" s="2" t="s">
        <v>52</v>
      </c>
      <c r="G48" s="2" t="s">
        <v>132</v>
      </c>
      <c r="H48" s="2">
        <v>11</v>
      </c>
      <c r="I48" s="3">
        <v>218.35</v>
      </c>
      <c r="J48" s="3">
        <v>2401.85</v>
      </c>
      <c r="K48" s="3">
        <v>2113.63</v>
      </c>
      <c r="L48" s="3">
        <v>288.22000000000003</v>
      </c>
      <c r="M48" s="2" t="s">
        <v>24</v>
      </c>
      <c r="N48" s="2" t="s">
        <v>25</v>
      </c>
      <c r="O48" s="3">
        <v>2890.23</v>
      </c>
      <c r="P48" s="4">
        <v>83.1</v>
      </c>
      <c r="Q48" s="4">
        <v>-8</v>
      </c>
    </row>
    <row r="49" spans="1:17" ht="15" customHeight="1" x14ac:dyDescent="0.3">
      <c r="A49" s="5" t="s">
        <v>133</v>
      </c>
      <c r="B49" s="5" t="s">
        <v>80</v>
      </c>
      <c r="C49" s="5" t="s">
        <v>43</v>
      </c>
      <c r="D49" s="5" t="s">
        <v>57</v>
      </c>
      <c r="E49" s="5" t="s">
        <v>134</v>
      </c>
      <c r="F49" s="5" t="s">
        <v>37</v>
      </c>
      <c r="G49" s="5" t="s">
        <v>84</v>
      </c>
      <c r="H49" s="5">
        <v>16</v>
      </c>
      <c r="I49" s="6">
        <v>20698.71</v>
      </c>
      <c r="J49" s="6">
        <v>331179.36</v>
      </c>
      <c r="K49" s="6">
        <v>231825.55</v>
      </c>
      <c r="L49" s="6">
        <v>99353.81</v>
      </c>
      <c r="M49" s="5" t="s">
        <v>24</v>
      </c>
      <c r="N49" s="5" t="s">
        <v>40</v>
      </c>
      <c r="O49" s="6">
        <v>412586.34</v>
      </c>
      <c r="P49" s="7">
        <v>80.27</v>
      </c>
      <c r="Q49" s="7">
        <v>13.8</v>
      </c>
    </row>
    <row r="50" spans="1:17" ht="15" customHeight="1" x14ac:dyDescent="0.3">
      <c r="A50" s="2" t="s">
        <v>135</v>
      </c>
      <c r="B50" s="2" t="s">
        <v>64</v>
      </c>
      <c r="C50" s="2" t="s">
        <v>43</v>
      </c>
      <c r="D50" s="2" t="s">
        <v>65</v>
      </c>
      <c r="E50" s="2" t="s">
        <v>21</v>
      </c>
      <c r="F50" s="2" t="s">
        <v>30</v>
      </c>
      <c r="G50" s="2" t="s">
        <v>100</v>
      </c>
      <c r="H50" s="2">
        <v>35</v>
      </c>
      <c r="I50" s="3">
        <v>42650.75</v>
      </c>
      <c r="J50" s="3">
        <v>1492776.25</v>
      </c>
      <c r="K50" s="3">
        <v>1194221</v>
      </c>
      <c r="L50" s="3">
        <v>298555.25</v>
      </c>
      <c r="M50" s="2" t="s">
        <v>39</v>
      </c>
      <c r="N50" s="2" t="s">
        <v>25</v>
      </c>
      <c r="O50" s="3">
        <v>1578425.42</v>
      </c>
      <c r="P50" s="4">
        <v>94.57</v>
      </c>
      <c r="Q50" s="4">
        <v>13.02</v>
      </c>
    </row>
    <row r="51" spans="1:17" ht="15" customHeight="1" x14ac:dyDescent="0.3">
      <c r="A51" s="5" t="s">
        <v>136</v>
      </c>
      <c r="B51" s="5" t="s">
        <v>95</v>
      </c>
      <c r="C51" s="5" t="s">
        <v>43</v>
      </c>
      <c r="D51" s="5" t="s">
        <v>65</v>
      </c>
      <c r="E51" s="5" t="s">
        <v>66</v>
      </c>
      <c r="F51" s="5" t="s">
        <v>52</v>
      </c>
      <c r="G51" s="5" t="s">
        <v>53</v>
      </c>
      <c r="H51" s="5">
        <v>41</v>
      </c>
      <c r="I51" s="6">
        <v>192.89</v>
      </c>
      <c r="J51" s="6">
        <v>7908.49</v>
      </c>
      <c r="K51" s="6">
        <v>6959.47</v>
      </c>
      <c r="L51" s="6">
        <v>949.02</v>
      </c>
      <c r="M51" s="5" t="s">
        <v>39</v>
      </c>
      <c r="N51" s="5" t="s">
        <v>25</v>
      </c>
      <c r="O51" s="6">
        <v>9288.18</v>
      </c>
      <c r="P51" s="7">
        <v>85.15</v>
      </c>
      <c r="Q51" s="7">
        <v>27.71</v>
      </c>
    </row>
    <row r="52" spans="1:17" ht="15" customHeight="1" x14ac:dyDescent="0.3">
      <c r="A52" s="2" t="s">
        <v>137</v>
      </c>
      <c r="B52" s="2" t="s">
        <v>48</v>
      </c>
      <c r="C52" s="2" t="s">
        <v>19</v>
      </c>
      <c r="D52" s="2" t="s">
        <v>28</v>
      </c>
      <c r="E52" s="2" t="s">
        <v>21</v>
      </c>
      <c r="F52" s="2" t="s">
        <v>52</v>
      </c>
      <c r="G52" s="2" t="s">
        <v>132</v>
      </c>
      <c r="H52" s="2">
        <v>14</v>
      </c>
      <c r="I52" s="3">
        <v>226.11</v>
      </c>
      <c r="J52" s="3">
        <v>3165.54</v>
      </c>
      <c r="K52" s="3">
        <v>2785.68</v>
      </c>
      <c r="L52" s="3">
        <v>379.86</v>
      </c>
      <c r="M52" s="2" t="s">
        <v>39</v>
      </c>
      <c r="N52" s="2" t="s">
        <v>25</v>
      </c>
      <c r="O52" s="3">
        <v>3050.04</v>
      </c>
      <c r="P52" s="4">
        <v>103.79</v>
      </c>
      <c r="Q52" s="4">
        <v>14.87</v>
      </c>
    </row>
    <row r="53" spans="1:17" ht="15" customHeight="1" x14ac:dyDescent="0.3">
      <c r="A53" s="5" t="s">
        <v>138</v>
      </c>
      <c r="B53" s="5" t="s">
        <v>69</v>
      </c>
      <c r="C53" s="5" t="s">
        <v>49</v>
      </c>
      <c r="D53" s="5" t="s">
        <v>75</v>
      </c>
      <c r="E53" s="5" t="s">
        <v>125</v>
      </c>
      <c r="F53" s="5" t="s">
        <v>37</v>
      </c>
      <c r="G53" s="5" t="s">
        <v>84</v>
      </c>
      <c r="H53" s="5">
        <v>9</v>
      </c>
      <c r="I53" s="6">
        <v>22120.35</v>
      </c>
      <c r="J53" s="6">
        <v>199083.15</v>
      </c>
      <c r="K53" s="6">
        <v>139358.20000000001</v>
      </c>
      <c r="L53" s="6">
        <v>59724.95</v>
      </c>
      <c r="M53" s="5" t="s">
        <v>24</v>
      </c>
      <c r="N53" s="5" t="s">
        <v>40</v>
      </c>
      <c r="O53" s="6">
        <v>189113.58</v>
      </c>
      <c r="P53" s="7">
        <v>105.27</v>
      </c>
      <c r="Q53" s="7">
        <v>26.55</v>
      </c>
    </row>
    <row r="54" spans="1:17" ht="15" customHeight="1" x14ac:dyDescent="0.3">
      <c r="A54" s="2" t="s">
        <v>138</v>
      </c>
      <c r="B54" s="2" t="s">
        <v>69</v>
      </c>
      <c r="C54" s="2" t="s">
        <v>34</v>
      </c>
      <c r="D54" s="2" t="s">
        <v>61</v>
      </c>
      <c r="E54" s="2" t="s">
        <v>21</v>
      </c>
      <c r="F54" s="2" t="s">
        <v>52</v>
      </c>
      <c r="G54" s="2" t="s">
        <v>55</v>
      </c>
      <c r="H54" s="2">
        <v>1</v>
      </c>
      <c r="I54" s="3">
        <v>393.65</v>
      </c>
      <c r="J54" s="3">
        <v>393.65</v>
      </c>
      <c r="K54" s="3">
        <v>346.41</v>
      </c>
      <c r="L54" s="3">
        <v>47.24</v>
      </c>
      <c r="M54" s="2" t="s">
        <v>24</v>
      </c>
      <c r="N54" s="2" t="s">
        <v>40</v>
      </c>
      <c r="O54" s="3">
        <v>441.3</v>
      </c>
      <c r="P54" s="4">
        <v>89.2</v>
      </c>
      <c r="Q54" s="4">
        <v>-7.89</v>
      </c>
    </row>
    <row r="55" spans="1:17" ht="15" customHeight="1" x14ac:dyDescent="0.3">
      <c r="A55" s="5" t="s">
        <v>138</v>
      </c>
      <c r="B55" s="5" t="s">
        <v>69</v>
      </c>
      <c r="C55" s="5" t="s">
        <v>34</v>
      </c>
      <c r="D55" s="5" t="s">
        <v>139</v>
      </c>
      <c r="E55" s="5" t="s">
        <v>21</v>
      </c>
      <c r="F55" s="5" t="s">
        <v>30</v>
      </c>
      <c r="G55" s="5" t="s">
        <v>140</v>
      </c>
      <c r="H55" s="5">
        <v>37</v>
      </c>
      <c r="I55" s="6">
        <v>9546.73</v>
      </c>
      <c r="J55" s="6">
        <v>353229.01</v>
      </c>
      <c r="K55" s="6">
        <v>282583.21000000002</v>
      </c>
      <c r="L55" s="6">
        <v>70645.8</v>
      </c>
      <c r="M55" s="5" t="s">
        <v>24</v>
      </c>
      <c r="N55" s="5" t="s">
        <v>40</v>
      </c>
      <c r="O55" s="6">
        <v>321573.67</v>
      </c>
      <c r="P55" s="7">
        <v>109.84</v>
      </c>
      <c r="Q55" s="7">
        <v>-11.93</v>
      </c>
    </row>
    <row r="56" spans="1:17" ht="15" customHeight="1" x14ac:dyDescent="0.3">
      <c r="A56" s="2" t="s">
        <v>141</v>
      </c>
      <c r="B56" s="2" t="s">
        <v>113</v>
      </c>
      <c r="C56" s="2" t="s">
        <v>34</v>
      </c>
      <c r="D56" s="2" t="s">
        <v>61</v>
      </c>
      <c r="E56" s="2" t="s">
        <v>66</v>
      </c>
      <c r="F56" s="2" t="s">
        <v>22</v>
      </c>
      <c r="G56" s="2" t="s">
        <v>86</v>
      </c>
      <c r="H56" s="2">
        <v>39</v>
      </c>
      <c r="I56" s="3">
        <v>2281.87</v>
      </c>
      <c r="J56" s="3">
        <v>88992.93</v>
      </c>
      <c r="K56" s="3">
        <v>48946.11</v>
      </c>
      <c r="L56" s="3">
        <v>40046.82</v>
      </c>
      <c r="M56" s="2" t="s">
        <v>39</v>
      </c>
      <c r="N56" s="2" t="s">
        <v>25</v>
      </c>
      <c r="O56" s="3">
        <v>109985.32</v>
      </c>
      <c r="P56" s="4">
        <v>80.91</v>
      </c>
      <c r="Q56" s="4">
        <v>-10.14</v>
      </c>
    </row>
    <row r="57" spans="1:17" ht="15" customHeight="1" x14ac:dyDescent="0.3">
      <c r="A57" s="5" t="s">
        <v>141</v>
      </c>
      <c r="B57" s="5" t="s">
        <v>113</v>
      </c>
      <c r="C57" s="5" t="s">
        <v>34</v>
      </c>
      <c r="D57" s="5" t="s">
        <v>61</v>
      </c>
      <c r="E57" s="5" t="s">
        <v>125</v>
      </c>
      <c r="F57" s="5" t="s">
        <v>30</v>
      </c>
      <c r="G57" s="5" t="s">
        <v>31</v>
      </c>
      <c r="H57" s="5">
        <v>29</v>
      </c>
      <c r="I57" s="6">
        <v>3220.39</v>
      </c>
      <c r="J57" s="6">
        <v>93391.31</v>
      </c>
      <c r="K57" s="6">
        <v>74713.05</v>
      </c>
      <c r="L57" s="6">
        <v>18678.259999999998</v>
      </c>
      <c r="M57" s="5" t="s">
        <v>39</v>
      </c>
      <c r="N57" s="5" t="s">
        <v>40</v>
      </c>
      <c r="O57" s="6">
        <v>106822.25</v>
      </c>
      <c r="P57" s="7">
        <v>87.43</v>
      </c>
      <c r="Q57" s="7">
        <v>12.17</v>
      </c>
    </row>
    <row r="58" spans="1:17" ht="15" customHeight="1" x14ac:dyDescent="0.3">
      <c r="A58" s="2" t="s">
        <v>142</v>
      </c>
      <c r="B58" s="2" t="s">
        <v>33</v>
      </c>
      <c r="C58" s="2" t="s">
        <v>43</v>
      </c>
      <c r="D58" s="2" t="s">
        <v>130</v>
      </c>
      <c r="E58" s="2" t="s">
        <v>134</v>
      </c>
      <c r="F58" s="2" t="s">
        <v>22</v>
      </c>
      <c r="G58" s="2" t="s">
        <v>72</v>
      </c>
      <c r="H58" s="2">
        <v>32</v>
      </c>
      <c r="I58" s="3">
        <v>3888.22</v>
      </c>
      <c r="J58" s="3">
        <v>124423.03999999999</v>
      </c>
      <c r="K58" s="3">
        <v>68432.67</v>
      </c>
      <c r="L58" s="3">
        <v>55990.37</v>
      </c>
      <c r="M58" s="2" t="s">
        <v>24</v>
      </c>
      <c r="N58" s="2" t="s">
        <v>25</v>
      </c>
      <c r="O58" s="3">
        <v>128395.91</v>
      </c>
      <c r="P58" s="4">
        <v>96.91</v>
      </c>
      <c r="Q58" s="4">
        <v>-0.85</v>
      </c>
    </row>
    <row r="59" spans="1:17" ht="15" customHeight="1" x14ac:dyDescent="0.3">
      <c r="A59" s="5" t="s">
        <v>143</v>
      </c>
      <c r="B59" s="5" t="s">
        <v>64</v>
      </c>
      <c r="C59" s="5" t="s">
        <v>34</v>
      </c>
      <c r="D59" s="5" t="s">
        <v>144</v>
      </c>
      <c r="E59" s="5" t="s">
        <v>54</v>
      </c>
      <c r="F59" s="5" t="s">
        <v>37</v>
      </c>
      <c r="G59" s="5" t="s">
        <v>78</v>
      </c>
      <c r="H59" s="5">
        <v>4</v>
      </c>
      <c r="I59" s="6">
        <v>6268.77</v>
      </c>
      <c r="J59" s="6">
        <v>25075.08</v>
      </c>
      <c r="K59" s="6">
        <v>17552.560000000001</v>
      </c>
      <c r="L59" s="6">
        <v>7522.52</v>
      </c>
      <c r="M59" s="5" t="s">
        <v>39</v>
      </c>
      <c r="N59" s="5" t="s">
        <v>40</v>
      </c>
      <c r="O59" s="6">
        <v>21887.19</v>
      </c>
      <c r="P59" s="7">
        <v>114.57</v>
      </c>
      <c r="Q59" s="7">
        <v>11.29</v>
      </c>
    </row>
    <row r="60" spans="1:17" ht="15" customHeight="1" x14ac:dyDescent="0.3">
      <c r="A60" s="2" t="s">
        <v>145</v>
      </c>
      <c r="B60" s="2" t="s">
        <v>33</v>
      </c>
      <c r="C60" s="2" t="s">
        <v>19</v>
      </c>
      <c r="D60" s="2" t="s">
        <v>107</v>
      </c>
      <c r="E60" s="2" t="s">
        <v>29</v>
      </c>
      <c r="F60" s="2" t="s">
        <v>37</v>
      </c>
      <c r="G60" s="2" t="s">
        <v>97</v>
      </c>
      <c r="H60" s="2">
        <v>29</v>
      </c>
      <c r="I60" s="3">
        <v>11531.59</v>
      </c>
      <c r="J60" s="3">
        <v>334416.11</v>
      </c>
      <c r="K60" s="3">
        <v>234091.28</v>
      </c>
      <c r="L60" s="3">
        <v>100324.83</v>
      </c>
      <c r="M60" s="2" t="s">
        <v>24</v>
      </c>
      <c r="N60" s="2" t="s">
        <v>40</v>
      </c>
      <c r="O60" s="3">
        <v>329252.27</v>
      </c>
      <c r="P60" s="4">
        <v>101.57</v>
      </c>
      <c r="Q60" s="4">
        <v>7.24</v>
      </c>
    </row>
    <row r="61" spans="1:17" ht="15" customHeight="1" x14ac:dyDescent="0.3">
      <c r="A61" s="5" t="s">
        <v>145</v>
      </c>
      <c r="B61" s="5" t="s">
        <v>33</v>
      </c>
      <c r="C61" s="5" t="s">
        <v>43</v>
      </c>
      <c r="D61" s="5" t="s">
        <v>65</v>
      </c>
      <c r="E61" s="5" t="s">
        <v>66</v>
      </c>
      <c r="F61" s="5" t="s">
        <v>58</v>
      </c>
      <c r="G61" s="5" t="s">
        <v>89</v>
      </c>
      <c r="H61" s="5">
        <v>28</v>
      </c>
      <c r="I61" s="6">
        <v>31300.5</v>
      </c>
      <c r="J61" s="6">
        <v>876414</v>
      </c>
      <c r="K61" s="6">
        <v>718659.48</v>
      </c>
      <c r="L61" s="6">
        <v>157754.51999999999</v>
      </c>
      <c r="M61" s="5" t="s">
        <v>24</v>
      </c>
      <c r="N61" s="5" t="s">
        <v>40</v>
      </c>
      <c r="O61" s="6">
        <v>785327.72</v>
      </c>
      <c r="P61" s="7">
        <v>111.6</v>
      </c>
      <c r="Q61" s="7">
        <v>-14.06</v>
      </c>
    </row>
    <row r="62" spans="1:17" ht="15" customHeight="1" x14ac:dyDescent="0.3">
      <c r="A62" s="2" t="s">
        <v>146</v>
      </c>
      <c r="B62" s="2" t="s">
        <v>27</v>
      </c>
      <c r="C62" s="2" t="s">
        <v>19</v>
      </c>
      <c r="D62" s="2" t="s">
        <v>81</v>
      </c>
      <c r="E62" s="2" t="s">
        <v>134</v>
      </c>
      <c r="F62" s="2" t="s">
        <v>52</v>
      </c>
      <c r="G62" s="2" t="s">
        <v>132</v>
      </c>
      <c r="H62" s="2">
        <v>13</v>
      </c>
      <c r="I62" s="3">
        <v>202.18</v>
      </c>
      <c r="J62" s="3">
        <v>2628.34</v>
      </c>
      <c r="K62" s="3">
        <v>2312.94</v>
      </c>
      <c r="L62" s="3">
        <v>315.39999999999998</v>
      </c>
      <c r="M62" s="2" t="s">
        <v>39</v>
      </c>
      <c r="N62" s="2" t="s">
        <v>25</v>
      </c>
      <c r="O62" s="3">
        <v>2967.07</v>
      </c>
      <c r="P62" s="4">
        <v>88.58</v>
      </c>
      <c r="Q62" s="4">
        <v>-1.43</v>
      </c>
    </row>
    <row r="63" spans="1:17" ht="15" customHeight="1" x14ac:dyDescent="0.3">
      <c r="A63" s="5" t="s">
        <v>147</v>
      </c>
      <c r="B63" s="5" t="s">
        <v>95</v>
      </c>
      <c r="C63" s="5" t="s">
        <v>19</v>
      </c>
      <c r="D63" s="5" t="s">
        <v>107</v>
      </c>
      <c r="E63" s="5" t="s">
        <v>99</v>
      </c>
      <c r="F63" s="5" t="s">
        <v>58</v>
      </c>
      <c r="G63" s="5" t="s">
        <v>114</v>
      </c>
      <c r="H63" s="5">
        <v>37</v>
      </c>
      <c r="I63" s="6">
        <v>26608.400000000001</v>
      </c>
      <c r="J63" s="6">
        <v>984510.8</v>
      </c>
      <c r="K63" s="6">
        <v>807298.86</v>
      </c>
      <c r="L63" s="6">
        <v>177211.94</v>
      </c>
      <c r="M63" s="5" t="s">
        <v>39</v>
      </c>
      <c r="N63" s="5" t="s">
        <v>25</v>
      </c>
      <c r="O63" s="6">
        <v>1128631</v>
      </c>
      <c r="P63" s="7">
        <v>87.23</v>
      </c>
      <c r="Q63" s="7">
        <v>28.73</v>
      </c>
    </row>
    <row r="64" spans="1:17" ht="15" customHeight="1" x14ac:dyDescent="0.3">
      <c r="A64" s="2" t="s">
        <v>148</v>
      </c>
      <c r="B64" s="2" t="s">
        <v>74</v>
      </c>
      <c r="C64" s="2" t="s">
        <v>19</v>
      </c>
      <c r="D64" s="2" t="s">
        <v>20</v>
      </c>
      <c r="E64" s="2" t="s">
        <v>36</v>
      </c>
      <c r="F64" s="2" t="s">
        <v>58</v>
      </c>
      <c r="G64" s="2" t="s">
        <v>116</v>
      </c>
      <c r="H64" s="2">
        <v>23</v>
      </c>
      <c r="I64" s="3">
        <v>4869.6099999999997</v>
      </c>
      <c r="J64" s="3">
        <v>112001.03</v>
      </c>
      <c r="K64" s="3">
        <v>91840.84</v>
      </c>
      <c r="L64" s="3">
        <v>20160.189999999999</v>
      </c>
      <c r="M64" s="2" t="s">
        <v>24</v>
      </c>
      <c r="N64" s="2" t="s">
        <v>40</v>
      </c>
      <c r="O64" s="3">
        <v>122359.28</v>
      </c>
      <c r="P64" s="4">
        <v>91.53</v>
      </c>
      <c r="Q64" s="4">
        <v>8.01</v>
      </c>
    </row>
    <row r="65" spans="1:17" ht="15" customHeight="1" x14ac:dyDescent="0.3">
      <c r="A65" s="5" t="s">
        <v>149</v>
      </c>
      <c r="B65" s="5" t="s">
        <v>106</v>
      </c>
      <c r="C65" s="5" t="s">
        <v>43</v>
      </c>
      <c r="D65" s="5" t="s">
        <v>150</v>
      </c>
      <c r="E65" s="5" t="s">
        <v>99</v>
      </c>
      <c r="F65" s="5" t="s">
        <v>22</v>
      </c>
      <c r="G65" s="5" t="s">
        <v>86</v>
      </c>
      <c r="H65" s="5">
        <v>37</v>
      </c>
      <c r="I65" s="6">
        <v>1902.6</v>
      </c>
      <c r="J65" s="6">
        <v>70396.2</v>
      </c>
      <c r="K65" s="6">
        <v>38717.910000000003</v>
      </c>
      <c r="L65" s="6">
        <v>31678.29</v>
      </c>
      <c r="M65" s="5" t="s">
        <v>39</v>
      </c>
      <c r="N65" s="5" t="s">
        <v>25</v>
      </c>
      <c r="O65" s="6">
        <v>82731.11</v>
      </c>
      <c r="P65" s="7">
        <v>85.09</v>
      </c>
      <c r="Q65" s="7">
        <v>-4.5199999999999996</v>
      </c>
    </row>
    <row r="66" spans="1:17" ht="15" customHeight="1" x14ac:dyDescent="0.3">
      <c r="A66" s="2" t="s">
        <v>151</v>
      </c>
      <c r="B66" s="2" t="s">
        <v>42</v>
      </c>
      <c r="C66" s="2" t="s">
        <v>19</v>
      </c>
      <c r="D66" s="2" t="s">
        <v>20</v>
      </c>
      <c r="E66" s="2" t="s">
        <v>36</v>
      </c>
      <c r="F66" s="2" t="s">
        <v>37</v>
      </c>
      <c r="G66" s="2" t="s">
        <v>97</v>
      </c>
      <c r="H66" s="2">
        <v>18</v>
      </c>
      <c r="I66" s="3">
        <v>12160.23</v>
      </c>
      <c r="J66" s="3">
        <v>218884.14</v>
      </c>
      <c r="K66" s="3">
        <v>153218.9</v>
      </c>
      <c r="L66" s="3">
        <v>65665.240000000005</v>
      </c>
      <c r="M66" s="2" t="s">
        <v>24</v>
      </c>
      <c r="N66" s="2" t="s">
        <v>25</v>
      </c>
      <c r="O66" s="3">
        <v>218462.22</v>
      </c>
      <c r="P66" s="4">
        <v>100.19</v>
      </c>
      <c r="Q66" s="4">
        <v>-5.57</v>
      </c>
    </row>
    <row r="67" spans="1:17" ht="15" customHeight="1" x14ac:dyDescent="0.3">
      <c r="A67" s="5" t="s">
        <v>152</v>
      </c>
      <c r="B67" s="5" t="s">
        <v>33</v>
      </c>
      <c r="C67" s="5" t="s">
        <v>34</v>
      </c>
      <c r="D67" s="5" t="s">
        <v>35</v>
      </c>
      <c r="E67" s="5" t="s">
        <v>54</v>
      </c>
      <c r="F67" s="5" t="s">
        <v>52</v>
      </c>
      <c r="G67" s="5" t="s">
        <v>82</v>
      </c>
      <c r="H67" s="5">
        <v>30</v>
      </c>
      <c r="I67" s="6">
        <v>118.49</v>
      </c>
      <c r="J67" s="6">
        <v>3554.7</v>
      </c>
      <c r="K67" s="6">
        <v>3128.14</v>
      </c>
      <c r="L67" s="6">
        <v>426.56</v>
      </c>
      <c r="M67" s="5" t="s">
        <v>39</v>
      </c>
      <c r="N67" s="5" t="s">
        <v>25</v>
      </c>
      <c r="O67" s="6">
        <v>3055.14</v>
      </c>
      <c r="P67" s="7">
        <v>116.35</v>
      </c>
      <c r="Q67" s="7">
        <v>-6.31</v>
      </c>
    </row>
    <row r="68" spans="1:17" ht="15" customHeight="1" x14ac:dyDescent="0.3">
      <c r="A68" s="2" t="s">
        <v>153</v>
      </c>
      <c r="B68" s="2" t="s">
        <v>106</v>
      </c>
      <c r="C68" s="2" t="s">
        <v>19</v>
      </c>
      <c r="D68" s="2" t="s">
        <v>28</v>
      </c>
      <c r="E68" s="2" t="s">
        <v>29</v>
      </c>
      <c r="F68" s="2" t="s">
        <v>58</v>
      </c>
      <c r="G68" s="2" t="s">
        <v>114</v>
      </c>
      <c r="H68" s="2">
        <v>41</v>
      </c>
      <c r="I68" s="3">
        <v>26186.18</v>
      </c>
      <c r="J68" s="3">
        <v>1073633.3799999999</v>
      </c>
      <c r="K68" s="3">
        <v>880379.37</v>
      </c>
      <c r="L68" s="3">
        <v>193254.01</v>
      </c>
      <c r="M68" s="2" t="s">
        <v>39</v>
      </c>
      <c r="N68" s="2" t="s">
        <v>40</v>
      </c>
      <c r="O68" s="3">
        <v>961879.44</v>
      </c>
      <c r="P68" s="4">
        <v>111.62</v>
      </c>
      <c r="Q68" s="4">
        <v>-4.88</v>
      </c>
    </row>
    <row r="69" spans="1:17" ht="15" customHeight="1" x14ac:dyDescent="0.3">
      <c r="A69" s="5" t="s">
        <v>154</v>
      </c>
      <c r="B69" s="5" t="s">
        <v>18</v>
      </c>
      <c r="C69" s="5" t="s">
        <v>43</v>
      </c>
      <c r="D69" s="5" t="s">
        <v>65</v>
      </c>
      <c r="E69" s="5" t="s">
        <v>99</v>
      </c>
      <c r="F69" s="5" t="s">
        <v>58</v>
      </c>
      <c r="G69" s="5" t="s">
        <v>116</v>
      </c>
      <c r="H69" s="5">
        <v>9</v>
      </c>
      <c r="I69" s="6">
        <v>4792.22</v>
      </c>
      <c r="J69" s="6">
        <v>43129.98</v>
      </c>
      <c r="K69" s="6">
        <v>35366.58</v>
      </c>
      <c r="L69" s="6">
        <v>7763.4</v>
      </c>
      <c r="M69" s="5" t="s">
        <v>39</v>
      </c>
      <c r="N69" s="5" t="s">
        <v>40</v>
      </c>
      <c r="O69" s="6">
        <v>45763.91</v>
      </c>
      <c r="P69" s="7">
        <v>94.24</v>
      </c>
      <c r="Q69" s="7">
        <v>12.3</v>
      </c>
    </row>
    <row r="70" spans="1:17" ht="15" customHeight="1" x14ac:dyDescent="0.3">
      <c r="A70" s="2" t="s">
        <v>155</v>
      </c>
      <c r="B70" s="2" t="s">
        <v>33</v>
      </c>
      <c r="C70" s="2" t="s">
        <v>49</v>
      </c>
      <c r="D70" s="2" t="s">
        <v>102</v>
      </c>
      <c r="E70" s="2" t="s">
        <v>51</v>
      </c>
      <c r="F70" s="2" t="s">
        <v>58</v>
      </c>
      <c r="G70" s="2" t="s">
        <v>59</v>
      </c>
      <c r="H70" s="2">
        <v>34</v>
      </c>
      <c r="I70" s="3">
        <v>9051.15</v>
      </c>
      <c r="J70" s="3">
        <v>307739.09999999998</v>
      </c>
      <c r="K70" s="3">
        <v>252346.06</v>
      </c>
      <c r="L70" s="3">
        <v>55393.04</v>
      </c>
      <c r="M70" s="2" t="s">
        <v>39</v>
      </c>
      <c r="N70" s="2" t="s">
        <v>40</v>
      </c>
      <c r="O70" s="3">
        <v>314669.06</v>
      </c>
      <c r="P70" s="4">
        <v>97.8</v>
      </c>
      <c r="Q70" s="4">
        <v>27.7</v>
      </c>
    </row>
    <row r="71" spans="1:17" ht="15" customHeight="1" x14ac:dyDescent="0.3">
      <c r="A71" s="5" t="s">
        <v>156</v>
      </c>
      <c r="B71" s="5" t="s">
        <v>27</v>
      </c>
      <c r="C71" s="5" t="s">
        <v>34</v>
      </c>
      <c r="D71" s="5" t="s">
        <v>61</v>
      </c>
      <c r="E71" s="5" t="s">
        <v>54</v>
      </c>
      <c r="F71" s="5" t="s">
        <v>22</v>
      </c>
      <c r="G71" s="5" t="s">
        <v>23</v>
      </c>
      <c r="H71" s="5">
        <v>8</v>
      </c>
      <c r="I71" s="6">
        <v>3781.12</v>
      </c>
      <c r="J71" s="6">
        <v>30248.959999999999</v>
      </c>
      <c r="K71" s="6">
        <v>16636.93</v>
      </c>
      <c r="L71" s="6">
        <v>13612.03</v>
      </c>
      <c r="M71" s="5" t="s">
        <v>24</v>
      </c>
      <c r="N71" s="5" t="s">
        <v>25</v>
      </c>
      <c r="O71" s="6">
        <v>34700.17</v>
      </c>
      <c r="P71" s="7">
        <v>87.17</v>
      </c>
      <c r="Q71" s="7">
        <v>27.79</v>
      </c>
    </row>
    <row r="72" spans="1:17" ht="15" customHeight="1" x14ac:dyDescent="0.3">
      <c r="A72" s="2" t="s">
        <v>157</v>
      </c>
      <c r="B72" s="2" t="s">
        <v>106</v>
      </c>
      <c r="C72" s="2" t="s">
        <v>49</v>
      </c>
      <c r="D72" s="2" t="s">
        <v>75</v>
      </c>
      <c r="E72" s="2" t="s">
        <v>51</v>
      </c>
      <c r="F72" s="2" t="s">
        <v>22</v>
      </c>
      <c r="G72" s="2" t="s">
        <v>93</v>
      </c>
      <c r="H72" s="2">
        <v>36</v>
      </c>
      <c r="I72" s="3">
        <v>2504.9899999999998</v>
      </c>
      <c r="J72" s="3">
        <v>90179.64</v>
      </c>
      <c r="K72" s="3">
        <v>49598.8</v>
      </c>
      <c r="L72" s="3">
        <v>40580.839999999997</v>
      </c>
      <c r="M72" s="2" t="s">
        <v>39</v>
      </c>
      <c r="N72" s="2" t="s">
        <v>25</v>
      </c>
      <c r="O72" s="3">
        <v>93297.98</v>
      </c>
      <c r="P72" s="4">
        <v>96.66</v>
      </c>
      <c r="Q72" s="4">
        <v>-9.7100000000000009</v>
      </c>
    </row>
    <row r="73" spans="1:17" ht="15" customHeight="1" x14ac:dyDescent="0.3">
      <c r="A73" s="5" t="s">
        <v>158</v>
      </c>
      <c r="B73" s="5" t="s">
        <v>64</v>
      </c>
      <c r="C73" s="5" t="s">
        <v>19</v>
      </c>
      <c r="D73" s="5" t="s">
        <v>20</v>
      </c>
      <c r="E73" s="5" t="s">
        <v>51</v>
      </c>
      <c r="F73" s="5" t="s">
        <v>37</v>
      </c>
      <c r="G73" s="5" t="s">
        <v>78</v>
      </c>
      <c r="H73" s="5">
        <v>9</v>
      </c>
      <c r="I73" s="6">
        <v>6512.58</v>
      </c>
      <c r="J73" s="6">
        <v>58613.22</v>
      </c>
      <c r="K73" s="6">
        <v>41029.25</v>
      </c>
      <c r="L73" s="6">
        <v>17583.97</v>
      </c>
      <c r="M73" s="5" t="s">
        <v>39</v>
      </c>
      <c r="N73" s="5" t="s">
        <v>25</v>
      </c>
      <c r="O73" s="6">
        <v>60986.96</v>
      </c>
      <c r="P73" s="7">
        <v>96.11</v>
      </c>
      <c r="Q73" s="7">
        <v>20.010000000000002</v>
      </c>
    </row>
    <row r="74" spans="1:17" ht="15" customHeight="1" x14ac:dyDescent="0.3">
      <c r="A74" s="2" t="s">
        <v>159</v>
      </c>
      <c r="B74" s="2" t="s">
        <v>69</v>
      </c>
      <c r="C74" s="2" t="s">
        <v>34</v>
      </c>
      <c r="D74" s="2" t="s">
        <v>139</v>
      </c>
      <c r="E74" s="2" t="s">
        <v>51</v>
      </c>
      <c r="F74" s="2" t="s">
        <v>22</v>
      </c>
      <c r="G74" s="2" t="s">
        <v>93</v>
      </c>
      <c r="H74" s="2">
        <v>44</v>
      </c>
      <c r="I74" s="3">
        <v>2700.45</v>
      </c>
      <c r="J74" s="3">
        <v>118819.8</v>
      </c>
      <c r="K74" s="3">
        <v>65350.89</v>
      </c>
      <c r="L74" s="3">
        <v>53468.91</v>
      </c>
      <c r="M74" s="2" t="s">
        <v>24</v>
      </c>
      <c r="N74" s="2" t="s">
        <v>40</v>
      </c>
      <c r="O74" s="3">
        <v>106298.67</v>
      </c>
      <c r="P74" s="4">
        <v>111.78</v>
      </c>
      <c r="Q74" s="4">
        <v>4.5599999999999996</v>
      </c>
    </row>
    <row r="75" spans="1:17" ht="15" customHeight="1" x14ac:dyDescent="0.3">
      <c r="A75" s="5" t="s">
        <v>160</v>
      </c>
      <c r="B75" s="5" t="s">
        <v>95</v>
      </c>
      <c r="C75" s="5" t="s">
        <v>34</v>
      </c>
      <c r="D75" s="5" t="s">
        <v>61</v>
      </c>
      <c r="E75" s="5" t="s">
        <v>51</v>
      </c>
      <c r="F75" s="5" t="s">
        <v>52</v>
      </c>
      <c r="G75" s="5" t="s">
        <v>161</v>
      </c>
      <c r="H75" s="5">
        <v>40</v>
      </c>
      <c r="I75" s="6">
        <v>596.12</v>
      </c>
      <c r="J75" s="6">
        <v>23844.799999999999</v>
      </c>
      <c r="K75" s="6">
        <v>20983.42</v>
      </c>
      <c r="L75" s="6">
        <v>2861.38</v>
      </c>
      <c r="M75" s="5" t="s">
        <v>24</v>
      </c>
      <c r="N75" s="5" t="s">
        <v>25</v>
      </c>
      <c r="O75" s="6">
        <v>27390.68</v>
      </c>
      <c r="P75" s="7">
        <v>87.05</v>
      </c>
      <c r="Q75" s="7">
        <v>4.53</v>
      </c>
    </row>
    <row r="76" spans="1:17" ht="15" customHeight="1" x14ac:dyDescent="0.3">
      <c r="A76" s="2" t="s">
        <v>162</v>
      </c>
      <c r="B76" s="2" t="s">
        <v>42</v>
      </c>
      <c r="C76" s="2" t="s">
        <v>49</v>
      </c>
      <c r="D76" s="2" t="s">
        <v>77</v>
      </c>
      <c r="E76" s="2" t="s">
        <v>66</v>
      </c>
      <c r="F76" s="2" t="s">
        <v>30</v>
      </c>
      <c r="G76" s="2" t="s">
        <v>62</v>
      </c>
      <c r="H76" s="2">
        <v>19</v>
      </c>
      <c r="I76" s="3">
        <v>43630.57</v>
      </c>
      <c r="J76" s="3">
        <v>828980.83</v>
      </c>
      <c r="K76" s="3">
        <v>663184.66</v>
      </c>
      <c r="L76" s="3">
        <v>165796.17000000001</v>
      </c>
      <c r="M76" s="2" t="s">
        <v>24</v>
      </c>
      <c r="N76" s="2" t="s">
        <v>25</v>
      </c>
      <c r="O76" s="3">
        <v>1028912.6</v>
      </c>
      <c r="P76" s="4">
        <v>80.569999999999993</v>
      </c>
      <c r="Q76" s="4">
        <v>14.62</v>
      </c>
    </row>
    <row r="77" spans="1:17" ht="15" customHeight="1" x14ac:dyDescent="0.3">
      <c r="A77" s="5" t="s">
        <v>162</v>
      </c>
      <c r="B77" s="5" t="s">
        <v>42</v>
      </c>
      <c r="C77" s="5" t="s">
        <v>34</v>
      </c>
      <c r="D77" s="5" t="s">
        <v>111</v>
      </c>
      <c r="E77" s="5" t="s">
        <v>134</v>
      </c>
      <c r="F77" s="5" t="s">
        <v>58</v>
      </c>
      <c r="G77" s="5" t="s">
        <v>59</v>
      </c>
      <c r="H77" s="5">
        <v>29</v>
      </c>
      <c r="I77" s="6">
        <v>7346.98</v>
      </c>
      <c r="J77" s="6">
        <v>213062.42</v>
      </c>
      <c r="K77" s="6">
        <v>174711.18</v>
      </c>
      <c r="L77" s="6">
        <v>38351.24</v>
      </c>
      <c r="M77" s="5" t="s">
        <v>39</v>
      </c>
      <c r="N77" s="5" t="s">
        <v>40</v>
      </c>
      <c r="O77" s="6">
        <v>232945.19</v>
      </c>
      <c r="P77" s="7">
        <v>91.46</v>
      </c>
      <c r="Q77" s="7">
        <v>-12.04</v>
      </c>
    </row>
    <row r="78" spans="1:17" ht="15" customHeight="1" x14ac:dyDescent="0.3">
      <c r="A78" s="2" t="s">
        <v>163</v>
      </c>
      <c r="B78" s="2" t="s">
        <v>18</v>
      </c>
      <c r="C78" s="2" t="s">
        <v>43</v>
      </c>
      <c r="D78" s="2" t="s">
        <v>150</v>
      </c>
      <c r="E78" s="2" t="s">
        <v>51</v>
      </c>
      <c r="F78" s="2" t="s">
        <v>37</v>
      </c>
      <c r="G78" s="2" t="s">
        <v>46</v>
      </c>
      <c r="H78" s="2">
        <v>40</v>
      </c>
      <c r="I78" s="3">
        <v>16885.72</v>
      </c>
      <c r="J78" s="3">
        <v>675428.8</v>
      </c>
      <c r="K78" s="3">
        <v>472800.16</v>
      </c>
      <c r="L78" s="3">
        <v>202628.64</v>
      </c>
      <c r="M78" s="2" t="s">
        <v>39</v>
      </c>
      <c r="N78" s="2" t="s">
        <v>40</v>
      </c>
      <c r="O78" s="3">
        <v>754983.19</v>
      </c>
      <c r="P78" s="4">
        <v>89.46</v>
      </c>
      <c r="Q78" s="4">
        <v>10.38</v>
      </c>
    </row>
    <row r="79" spans="1:17" ht="15" customHeight="1" x14ac:dyDescent="0.3">
      <c r="A79" s="5" t="s">
        <v>164</v>
      </c>
      <c r="B79" s="5" t="s">
        <v>95</v>
      </c>
      <c r="C79" s="5" t="s">
        <v>19</v>
      </c>
      <c r="D79" s="5" t="s">
        <v>28</v>
      </c>
      <c r="E79" s="5" t="s">
        <v>125</v>
      </c>
      <c r="F79" s="5" t="s">
        <v>37</v>
      </c>
      <c r="G79" s="5" t="s">
        <v>78</v>
      </c>
      <c r="H79" s="5">
        <v>21</v>
      </c>
      <c r="I79" s="6">
        <v>6793.53</v>
      </c>
      <c r="J79" s="6">
        <v>142664.13</v>
      </c>
      <c r="K79" s="6">
        <v>99864.89</v>
      </c>
      <c r="L79" s="6">
        <v>42799.24</v>
      </c>
      <c r="M79" s="5" t="s">
        <v>39</v>
      </c>
      <c r="N79" s="5" t="s">
        <v>25</v>
      </c>
      <c r="O79" s="6">
        <v>147416.87</v>
      </c>
      <c r="P79" s="7">
        <v>96.78</v>
      </c>
      <c r="Q79" s="7">
        <v>29.93</v>
      </c>
    </row>
    <row r="80" spans="1:17" ht="15" customHeight="1" x14ac:dyDescent="0.3">
      <c r="A80" s="2" t="s">
        <v>165</v>
      </c>
      <c r="B80" s="2" t="s">
        <v>113</v>
      </c>
      <c r="C80" s="2" t="s">
        <v>43</v>
      </c>
      <c r="D80" s="2" t="s">
        <v>150</v>
      </c>
      <c r="E80" s="2" t="s">
        <v>45</v>
      </c>
      <c r="F80" s="2" t="s">
        <v>58</v>
      </c>
      <c r="G80" s="2" t="s">
        <v>114</v>
      </c>
      <c r="H80" s="2">
        <v>3</v>
      </c>
      <c r="I80" s="3">
        <v>27716.22</v>
      </c>
      <c r="J80" s="3">
        <v>83148.66</v>
      </c>
      <c r="K80" s="3">
        <v>68181.899999999994</v>
      </c>
      <c r="L80" s="3">
        <v>14966.76</v>
      </c>
      <c r="M80" s="2" t="s">
        <v>39</v>
      </c>
      <c r="N80" s="2" t="s">
        <v>40</v>
      </c>
      <c r="O80" s="3">
        <v>74915.13</v>
      </c>
      <c r="P80" s="4">
        <v>110.99</v>
      </c>
      <c r="Q80" s="4">
        <v>-1.1299999999999999</v>
      </c>
    </row>
    <row r="81" spans="1:17" ht="15" customHeight="1" x14ac:dyDescent="0.3">
      <c r="A81" s="5" t="s">
        <v>166</v>
      </c>
      <c r="B81" s="5" t="s">
        <v>74</v>
      </c>
      <c r="C81" s="5" t="s">
        <v>49</v>
      </c>
      <c r="D81" s="5" t="s">
        <v>50</v>
      </c>
      <c r="E81" s="5" t="s">
        <v>96</v>
      </c>
      <c r="F81" s="5" t="s">
        <v>52</v>
      </c>
      <c r="G81" s="5" t="s">
        <v>55</v>
      </c>
      <c r="H81" s="5">
        <v>28</v>
      </c>
      <c r="I81" s="6">
        <v>388.89</v>
      </c>
      <c r="J81" s="6">
        <v>10888.92</v>
      </c>
      <c r="K81" s="6">
        <v>9582.25</v>
      </c>
      <c r="L81" s="6">
        <v>1306.67</v>
      </c>
      <c r="M81" s="5" t="s">
        <v>39</v>
      </c>
      <c r="N81" s="5" t="s">
        <v>40</v>
      </c>
      <c r="O81" s="6">
        <v>11820.45</v>
      </c>
      <c r="P81" s="7">
        <v>92.12</v>
      </c>
      <c r="Q81" s="7">
        <v>8.58</v>
      </c>
    </row>
    <row r="82" spans="1:17" ht="15" customHeight="1" x14ac:dyDescent="0.3">
      <c r="A82" s="2" t="s">
        <v>167</v>
      </c>
      <c r="B82" s="2" t="s">
        <v>48</v>
      </c>
      <c r="C82" s="2" t="s">
        <v>43</v>
      </c>
      <c r="D82" s="2" t="s">
        <v>57</v>
      </c>
      <c r="E82" s="2" t="s">
        <v>134</v>
      </c>
      <c r="F82" s="2" t="s">
        <v>58</v>
      </c>
      <c r="G82" s="2" t="s">
        <v>116</v>
      </c>
      <c r="H82" s="2">
        <v>32</v>
      </c>
      <c r="I82" s="3">
        <v>4986.9399999999996</v>
      </c>
      <c r="J82" s="3">
        <v>159582.07999999999</v>
      </c>
      <c r="K82" s="3">
        <v>130857.31</v>
      </c>
      <c r="L82" s="3">
        <v>28724.77</v>
      </c>
      <c r="M82" s="2" t="s">
        <v>24</v>
      </c>
      <c r="N82" s="2" t="s">
        <v>25</v>
      </c>
      <c r="O82" s="3">
        <v>174395.45</v>
      </c>
      <c r="P82" s="4">
        <v>91.51</v>
      </c>
      <c r="Q82" s="4">
        <v>0.85</v>
      </c>
    </row>
    <row r="83" spans="1:17" ht="15" customHeight="1" x14ac:dyDescent="0.3">
      <c r="A83" s="5" t="s">
        <v>168</v>
      </c>
      <c r="B83" s="5" t="s">
        <v>18</v>
      </c>
      <c r="C83" s="5" t="s">
        <v>49</v>
      </c>
      <c r="D83" s="5" t="s">
        <v>77</v>
      </c>
      <c r="E83" s="5" t="s">
        <v>99</v>
      </c>
      <c r="F83" s="5" t="s">
        <v>52</v>
      </c>
      <c r="G83" s="5" t="s">
        <v>132</v>
      </c>
      <c r="H83" s="5">
        <v>17</v>
      </c>
      <c r="I83" s="6">
        <v>205.68</v>
      </c>
      <c r="J83" s="6">
        <v>3496.56</v>
      </c>
      <c r="K83" s="6">
        <v>3076.97</v>
      </c>
      <c r="L83" s="6">
        <v>419.59</v>
      </c>
      <c r="M83" s="5" t="s">
        <v>24</v>
      </c>
      <c r="N83" s="5" t="s">
        <v>40</v>
      </c>
      <c r="O83" s="6">
        <v>4227.79</v>
      </c>
      <c r="P83" s="7">
        <v>82.7</v>
      </c>
      <c r="Q83" s="7">
        <v>2.97</v>
      </c>
    </row>
    <row r="84" spans="1:17" ht="15" customHeight="1" x14ac:dyDescent="0.3">
      <c r="A84" s="2" t="s">
        <v>169</v>
      </c>
      <c r="B84" s="2" t="s">
        <v>74</v>
      </c>
      <c r="C84" s="2" t="s">
        <v>19</v>
      </c>
      <c r="D84" s="2" t="s">
        <v>28</v>
      </c>
      <c r="E84" s="2" t="s">
        <v>96</v>
      </c>
      <c r="F84" s="2" t="s">
        <v>22</v>
      </c>
      <c r="G84" s="2" t="s">
        <v>23</v>
      </c>
      <c r="H84" s="2">
        <v>30</v>
      </c>
      <c r="I84" s="3">
        <v>3992.53</v>
      </c>
      <c r="J84" s="3">
        <v>119775.9</v>
      </c>
      <c r="K84" s="3">
        <v>65876.740000000005</v>
      </c>
      <c r="L84" s="3">
        <v>53899.16</v>
      </c>
      <c r="M84" s="2" t="s">
        <v>39</v>
      </c>
      <c r="N84" s="2" t="s">
        <v>25</v>
      </c>
      <c r="O84" s="3">
        <v>143019.16</v>
      </c>
      <c r="P84" s="4">
        <v>83.75</v>
      </c>
      <c r="Q84" s="4">
        <v>17.59</v>
      </c>
    </row>
    <row r="85" spans="1:17" ht="15" customHeight="1" x14ac:dyDescent="0.3">
      <c r="A85" s="5" t="s">
        <v>170</v>
      </c>
      <c r="B85" s="5" t="s">
        <v>48</v>
      </c>
      <c r="C85" s="5" t="s">
        <v>19</v>
      </c>
      <c r="D85" s="5" t="s">
        <v>28</v>
      </c>
      <c r="E85" s="5" t="s">
        <v>36</v>
      </c>
      <c r="F85" s="5" t="s">
        <v>30</v>
      </c>
      <c r="G85" s="5" t="s">
        <v>31</v>
      </c>
      <c r="H85" s="5">
        <v>36</v>
      </c>
      <c r="I85" s="6">
        <v>3540.17</v>
      </c>
      <c r="J85" s="6">
        <v>127446.12</v>
      </c>
      <c r="K85" s="6">
        <v>101956.9</v>
      </c>
      <c r="L85" s="6">
        <v>25489.22</v>
      </c>
      <c r="M85" s="5" t="s">
        <v>39</v>
      </c>
      <c r="N85" s="5" t="s">
        <v>40</v>
      </c>
      <c r="O85" s="6">
        <v>131273.06</v>
      </c>
      <c r="P85" s="7">
        <v>97.08</v>
      </c>
      <c r="Q85" s="7">
        <v>18.829999999999998</v>
      </c>
    </row>
    <row r="86" spans="1:17" ht="15" customHeight="1" x14ac:dyDescent="0.3">
      <c r="A86" s="2" t="s">
        <v>171</v>
      </c>
      <c r="B86" s="2" t="s">
        <v>64</v>
      </c>
      <c r="C86" s="2" t="s">
        <v>43</v>
      </c>
      <c r="D86" s="2" t="s">
        <v>130</v>
      </c>
      <c r="E86" s="2" t="s">
        <v>51</v>
      </c>
      <c r="F86" s="2" t="s">
        <v>30</v>
      </c>
      <c r="G86" s="2" t="s">
        <v>31</v>
      </c>
      <c r="H86" s="2">
        <v>49</v>
      </c>
      <c r="I86" s="3">
        <v>3738.25</v>
      </c>
      <c r="J86" s="3">
        <v>183174.25</v>
      </c>
      <c r="K86" s="3">
        <v>146539.4</v>
      </c>
      <c r="L86" s="3">
        <v>36634.85</v>
      </c>
      <c r="M86" s="2" t="s">
        <v>24</v>
      </c>
      <c r="N86" s="2" t="s">
        <v>25</v>
      </c>
      <c r="O86" s="3">
        <v>211610.88</v>
      </c>
      <c r="P86" s="4">
        <v>86.56</v>
      </c>
      <c r="Q86" s="4">
        <v>-7.12</v>
      </c>
    </row>
    <row r="87" spans="1:17" ht="15" customHeight="1" x14ac:dyDescent="0.3">
      <c r="A87" s="5" t="s">
        <v>172</v>
      </c>
      <c r="B87" s="5" t="s">
        <v>18</v>
      </c>
      <c r="C87" s="5" t="s">
        <v>34</v>
      </c>
      <c r="D87" s="5" t="s">
        <v>111</v>
      </c>
      <c r="E87" s="5" t="s">
        <v>134</v>
      </c>
      <c r="F87" s="5" t="s">
        <v>30</v>
      </c>
      <c r="G87" s="5" t="s">
        <v>67</v>
      </c>
      <c r="H87" s="5">
        <v>31</v>
      </c>
      <c r="I87" s="6">
        <v>33967.22</v>
      </c>
      <c r="J87" s="6">
        <v>1052983.82</v>
      </c>
      <c r="K87" s="6">
        <v>842387.06</v>
      </c>
      <c r="L87" s="6">
        <v>210596.76</v>
      </c>
      <c r="M87" s="5" t="s">
        <v>24</v>
      </c>
      <c r="N87" s="5" t="s">
        <v>40</v>
      </c>
      <c r="O87" s="6">
        <v>1229014.44</v>
      </c>
      <c r="P87" s="7">
        <v>85.68</v>
      </c>
      <c r="Q87" s="7">
        <v>-10.81</v>
      </c>
    </row>
    <row r="88" spans="1:17" ht="15" customHeight="1" x14ac:dyDescent="0.3">
      <c r="A88" s="2" t="s">
        <v>173</v>
      </c>
      <c r="B88" s="2" t="s">
        <v>27</v>
      </c>
      <c r="C88" s="2" t="s">
        <v>34</v>
      </c>
      <c r="D88" s="2" t="s">
        <v>144</v>
      </c>
      <c r="E88" s="2" t="s">
        <v>125</v>
      </c>
      <c r="F88" s="2" t="s">
        <v>52</v>
      </c>
      <c r="G88" s="2" t="s">
        <v>161</v>
      </c>
      <c r="H88" s="2">
        <v>23</v>
      </c>
      <c r="I88" s="3">
        <v>639.02</v>
      </c>
      <c r="J88" s="3">
        <v>14697.46</v>
      </c>
      <c r="K88" s="3">
        <v>12933.76</v>
      </c>
      <c r="L88" s="3">
        <v>1763.7</v>
      </c>
      <c r="M88" s="2" t="s">
        <v>24</v>
      </c>
      <c r="N88" s="2" t="s">
        <v>40</v>
      </c>
      <c r="O88" s="3">
        <v>17977.060000000001</v>
      </c>
      <c r="P88" s="4">
        <v>81.760000000000005</v>
      </c>
      <c r="Q88" s="4">
        <v>24.13</v>
      </c>
    </row>
    <row r="89" spans="1:17" ht="15" customHeight="1" x14ac:dyDescent="0.3">
      <c r="A89" s="5" t="s">
        <v>174</v>
      </c>
      <c r="B89" s="5" t="s">
        <v>113</v>
      </c>
      <c r="C89" s="5" t="s">
        <v>19</v>
      </c>
      <c r="D89" s="5" t="s">
        <v>107</v>
      </c>
      <c r="E89" s="5" t="s">
        <v>71</v>
      </c>
      <c r="F89" s="5" t="s">
        <v>37</v>
      </c>
      <c r="G89" s="5" t="s">
        <v>46</v>
      </c>
      <c r="H89" s="5">
        <v>7</v>
      </c>
      <c r="I89" s="6">
        <v>16617.36</v>
      </c>
      <c r="J89" s="6">
        <v>116321.52</v>
      </c>
      <c r="K89" s="6">
        <v>81425.06</v>
      </c>
      <c r="L89" s="6">
        <v>34896.46</v>
      </c>
      <c r="M89" s="5" t="s">
        <v>39</v>
      </c>
      <c r="N89" s="5" t="s">
        <v>40</v>
      </c>
      <c r="O89" s="6">
        <v>138306.03</v>
      </c>
      <c r="P89" s="7">
        <v>84.1</v>
      </c>
      <c r="Q89" s="7">
        <v>12.17</v>
      </c>
    </row>
    <row r="90" spans="1:17" ht="15" customHeight="1" x14ac:dyDescent="0.3">
      <c r="A90" s="2" t="s">
        <v>175</v>
      </c>
      <c r="B90" s="2" t="s">
        <v>80</v>
      </c>
      <c r="C90" s="2" t="s">
        <v>34</v>
      </c>
      <c r="D90" s="2" t="s">
        <v>144</v>
      </c>
      <c r="E90" s="2" t="s">
        <v>29</v>
      </c>
      <c r="F90" s="2" t="s">
        <v>30</v>
      </c>
      <c r="G90" s="2" t="s">
        <v>31</v>
      </c>
      <c r="H90" s="2">
        <v>26</v>
      </c>
      <c r="I90" s="3">
        <v>3629.45</v>
      </c>
      <c r="J90" s="3">
        <v>94365.7</v>
      </c>
      <c r="K90" s="3">
        <v>75492.56</v>
      </c>
      <c r="L90" s="3">
        <v>18873.14</v>
      </c>
      <c r="M90" s="2" t="s">
        <v>39</v>
      </c>
      <c r="N90" s="2" t="s">
        <v>40</v>
      </c>
      <c r="O90" s="3">
        <v>91040.77</v>
      </c>
      <c r="P90" s="4">
        <v>103.65</v>
      </c>
      <c r="Q90" s="4">
        <v>4.34</v>
      </c>
    </row>
    <row r="91" spans="1:17" ht="15" customHeight="1" x14ac:dyDescent="0.3">
      <c r="A91" s="5" t="s">
        <v>175</v>
      </c>
      <c r="B91" s="5" t="s">
        <v>80</v>
      </c>
      <c r="C91" s="5" t="s">
        <v>49</v>
      </c>
      <c r="D91" s="5" t="s">
        <v>70</v>
      </c>
      <c r="E91" s="5" t="s">
        <v>71</v>
      </c>
      <c r="F91" s="5" t="s">
        <v>22</v>
      </c>
      <c r="G91" s="5" t="s">
        <v>72</v>
      </c>
      <c r="H91" s="5">
        <v>33</v>
      </c>
      <c r="I91" s="6">
        <v>3867.17</v>
      </c>
      <c r="J91" s="6">
        <v>127616.61</v>
      </c>
      <c r="K91" s="6">
        <v>70189.14</v>
      </c>
      <c r="L91" s="6">
        <v>57427.47</v>
      </c>
      <c r="M91" s="5" t="s">
        <v>39</v>
      </c>
      <c r="N91" s="5" t="s">
        <v>40</v>
      </c>
      <c r="O91" s="6">
        <v>145536.57999999999</v>
      </c>
      <c r="P91" s="7">
        <v>87.69</v>
      </c>
      <c r="Q91" s="7">
        <v>22.69</v>
      </c>
    </row>
    <row r="92" spans="1:17" ht="15" customHeight="1" x14ac:dyDescent="0.3">
      <c r="A92" s="2" t="s">
        <v>176</v>
      </c>
      <c r="B92" s="2" t="s">
        <v>69</v>
      </c>
      <c r="C92" s="2" t="s">
        <v>34</v>
      </c>
      <c r="D92" s="2" t="s">
        <v>144</v>
      </c>
      <c r="E92" s="2" t="s">
        <v>66</v>
      </c>
      <c r="F92" s="2" t="s">
        <v>52</v>
      </c>
      <c r="G92" s="2" t="s">
        <v>82</v>
      </c>
      <c r="H92" s="2">
        <v>35</v>
      </c>
      <c r="I92" s="3">
        <v>108.81</v>
      </c>
      <c r="J92" s="3">
        <v>3808.35</v>
      </c>
      <c r="K92" s="3">
        <v>3351.35</v>
      </c>
      <c r="L92" s="3">
        <v>457</v>
      </c>
      <c r="M92" s="2" t="s">
        <v>24</v>
      </c>
      <c r="N92" s="2" t="s">
        <v>25</v>
      </c>
      <c r="O92" s="3">
        <v>3364.98</v>
      </c>
      <c r="P92" s="4">
        <v>113.18</v>
      </c>
      <c r="Q92" s="4">
        <v>4.29</v>
      </c>
    </row>
    <row r="93" spans="1:17" ht="15" customHeight="1" x14ac:dyDescent="0.3">
      <c r="A93" s="5" t="s">
        <v>177</v>
      </c>
      <c r="B93" s="5" t="s">
        <v>27</v>
      </c>
      <c r="C93" s="5" t="s">
        <v>19</v>
      </c>
      <c r="D93" s="5" t="s">
        <v>178</v>
      </c>
      <c r="E93" s="5" t="s">
        <v>99</v>
      </c>
      <c r="F93" s="5" t="s">
        <v>58</v>
      </c>
      <c r="G93" s="5" t="s">
        <v>179</v>
      </c>
      <c r="H93" s="5">
        <v>20</v>
      </c>
      <c r="I93" s="6">
        <v>68169.47</v>
      </c>
      <c r="J93" s="6">
        <v>1363389.4</v>
      </c>
      <c r="K93" s="6">
        <v>1117979.31</v>
      </c>
      <c r="L93" s="6">
        <v>245410.09</v>
      </c>
      <c r="M93" s="5" t="s">
        <v>24</v>
      </c>
      <c r="N93" s="5" t="s">
        <v>40</v>
      </c>
      <c r="O93" s="6">
        <v>1226697.97</v>
      </c>
      <c r="P93" s="7">
        <v>111.14</v>
      </c>
      <c r="Q93" s="7">
        <v>15.99</v>
      </c>
    </row>
    <row r="94" spans="1:17" ht="15" customHeight="1" x14ac:dyDescent="0.3">
      <c r="A94" s="2" t="s">
        <v>177</v>
      </c>
      <c r="B94" s="2" t="s">
        <v>27</v>
      </c>
      <c r="C94" s="2" t="s">
        <v>43</v>
      </c>
      <c r="D94" s="2" t="s">
        <v>130</v>
      </c>
      <c r="E94" s="2" t="s">
        <v>66</v>
      </c>
      <c r="F94" s="2" t="s">
        <v>52</v>
      </c>
      <c r="G94" s="2" t="s">
        <v>53</v>
      </c>
      <c r="H94" s="2">
        <v>36</v>
      </c>
      <c r="I94" s="3">
        <v>176.76</v>
      </c>
      <c r="J94" s="3">
        <v>6363.36</v>
      </c>
      <c r="K94" s="3">
        <v>5599.76</v>
      </c>
      <c r="L94" s="3">
        <v>763.6</v>
      </c>
      <c r="M94" s="2" t="s">
        <v>39</v>
      </c>
      <c r="N94" s="2" t="s">
        <v>25</v>
      </c>
      <c r="O94" s="3">
        <v>7026.18</v>
      </c>
      <c r="P94" s="4">
        <v>90.57</v>
      </c>
      <c r="Q94" s="4">
        <v>5.89</v>
      </c>
    </row>
    <row r="95" spans="1:17" ht="15" customHeight="1" x14ac:dyDescent="0.3">
      <c r="A95" s="5" t="s">
        <v>180</v>
      </c>
      <c r="B95" s="5" t="s">
        <v>95</v>
      </c>
      <c r="C95" s="5" t="s">
        <v>34</v>
      </c>
      <c r="D95" s="5" t="s">
        <v>111</v>
      </c>
      <c r="E95" s="5" t="s">
        <v>134</v>
      </c>
      <c r="F95" s="5" t="s">
        <v>30</v>
      </c>
      <c r="G95" s="5" t="s">
        <v>67</v>
      </c>
      <c r="H95" s="5">
        <v>45</v>
      </c>
      <c r="I95" s="6">
        <v>31871.83</v>
      </c>
      <c r="J95" s="6">
        <v>1434232.35</v>
      </c>
      <c r="K95" s="6">
        <v>1147385.8799999999</v>
      </c>
      <c r="L95" s="6">
        <v>286846.46999999997</v>
      </c>
      <c r="M95" s="5" t="s">
        <v>24</v>
      </c>
      <c r="N95" s="5" t="s">
        <v>25</v>
      </c>
      <c r="O95" s="6">
        <v>1303758.1399999999</v>
      </c>
      <c r="P95" s="7">
        <v>110.01</v>
      </c>
      <c r="Q95" s="7">
        <v>15.94</v>
      </c>
    </row>
    <row r="96" spans="1:17" ht="15" customHeight="1" x14ac:dyDescent="0.3">
      <c r="A96" s="2" t="s">
        <v>180</v>
      </c>
      <c r="B96" s="2" t="s">
        <v>95</v>
      </c>
      <c r="C96" s="2" t="s">
        <v>19</v>
      </c>
      <c r="D96" s="2" t="s">
        <v>81</v>
      </c>
      <c r="E96" s="2" t="s">
        <v>134</v>
      </c>
      <c r="F96" s="2" t="s">
        <v>22</v>
      </c>
      <c r="G96" s="2" t="s">
        <v>72</v>
      </c>
      <c r="H96" s="2">
        <v>17</v>
      </c>
      <c r="I96" s="3">
        <v>4056.84</v>
      </c>
      <c r="J96" s="3">
        <v>68966.28</v>
      </c>
      <c r="K96" s="3">
        <v>37931.449999999997</v>
      </c>
      <c r="L96" s="3">
        <v>31034.83</v>
      </c>
      <c r="M96" s="2" t="s">
        <v>24</v>
      </c>
      <c r="N96" s="2" t="s">
        <v>25</v>
      </c>
      <c r="O96" s="3">
        <v>86190.57</v>
      </c>
      <c r="P96" s="4">
        <v>80.02</v>
      </c>
      <c r="Q96" s="4">
        <v>23.4</v>
      </c>
    </row>
    <row r="97" spans="1:17" ht="15" customHeight="1" x14ac:dyDescent="0.3">
      <c r="A97" s="5" t="s">
        <v>181</v>
      </c>
      <c r="B97" s="5" t="s">
        <v>74</v>
      </c>
      <c r="C97" s="5" t="s">
        <v>43</v>
      </c>
      <c r="D97" s="5" t="s">
        <v>150</v>
      </c>
      <c r="E97" s="5" t="s">
        <v>96</v>
      </c>
      <c r="F97" s="5" t="s">
        <v>30</v>
      </c>
      <c r="G97" s="5" t="s">
        <v>100</v>
      </c>
      <c r="H97" s="5">
        <v>49</v>
      </c>
      <c r="I97" s="6">
        <v>46711.31</v>
      </c>
      <c r="J97" s="6">
        <v>2288854.19</v>
      </c>
      <c r="K97" s="6">
        <v>1831083.35</v>
      </c>
      <c r="L97" s="6">
        <v>457770.84</v>
      </c>
      <c r="M97" s="5" t="s">
        <v>39</v>
      </c>
      <c r="N97" s="5" t="s">
        <v>40</v>
      </c>
      <c r="O97" s="6">
        <v>2390150.75</v>
      </c>
      <c r="P97" s="7">
        <v>95.76</v>
      </c>
      <c r="Q97" s="7">
        <v>-5.38</v>
      </c>
    </row>
    <row r="98" spans="1:17" ht="15" customHeight="1" x14ac:dyDescent="0.3">
      <c r="A98" s="2" t="s">
        <v>182</v>
      </c>
      <c r="B98" s="2" t="s">
        <v>106</v>
      </c>
      <c r="C98" s="2" t="s">
        <v>19</v>
      </c>
      <c r="D98" s="2" t="s">
        <v>178</v>
      </c>
      <c r="E98" s="2" t="s">
        <v>71</v>
      </c>
      <c r="F98" s="2" t="s">
        <v>37</v>
      </c>
      <c r="G98" s="2" t="s">
        <v>97</v>
      </c>
      <c r="H98" s="2">
        <v>50</v>
      </c>
      <c r="I98" s="3">
        <v>12479.65</v>
      </c>
      <c r="J98" s="3">
        <v>623982.5</v>
      </c>
      <c r="K98" s="3">
        <v>436787.75</v>
      </c>
      <c r="L98" s="3">
        <v>187194.75</v>
      </c>
      <c r="M98" s="2" t="s">
        <v>24</v>
      </c>
      <c r="N98" s="2" t="s">
        <v>25</v>
      </c>
      <c r="O98" s="3">
        <v>761449.29</v>
      </c>
      <c r="P98" s="4">
        <v>81.95</v>
      </c>
      <c r="Q98" s="4">
        <v>-4.3499999999999996</v>
      </c>
    </row>
    <row r="99" spans="1:17" ht="15" customHeight="1" x14ac:dyDescent="0.3">
      <c r="A99" s="5" t="s">
        <v>183</v>
      </c>
      <c r="B99" s="5" t="s">
        <v>95</v>
      </c>
      <c r="C99" s="5" t="s">
        <v>43</v>
      </c>
      <c r="D99" s="5" t="s">
        <v>150</v>
      </c>
      <c r="E99" s="5" t="s">
        <v>36</v>
      </c>
      <c r="F99" s="5" t="s">
        <v>52</v>
      </c>
      <c r="G99" s="5" t="s">
        <v>55</v>
      </c>
      <c r="H99" s="5">
        <v>27</v>
      </c>
      <c r="I99" s="6">
        <v>355.86</v>
      </c>
      <c r="J99" s="6">
        <v>9608.2199999999993</v>
      </c>
      <c r="K99" s="6">
        <v>8455.23</v>
      </c>
      <c r="L99" s="6">
        <v>1152.99</v>
      </c>
      <c r="M99" s="5" t="s">
        <v>39</v>
      </c>
      <c r="N99" s="5" t="s">
        <v>25</v>
      </c>
      <c r="O99" s="6">
        <v>8399.94</v>
      </c>
      <c r="P99" s="7">
        <v>114.38</v>
      </c>
      <c r="Q99" s="7">
        <v>17.77</v>
      </c>
    </row>
    <row r="100" spans="1:17" ht="15" customHeight="1" x14ac:dyDescent="0.3">
      <c r="A100" s="2" t="s">
        <v>183</v>
      </c>
      <c r="B100" s="2" t="s">
        <v>95</v>
      </c>
      <c r="C100" s="2" t="s">
        <v>49</v>
      </c>
      <c r="D100" s="2" t="s">
        <v>77</v>
      </c>
      <c r="E100" s="2" t="s">
        <v>134</v>
      </c>
      <c r="F100" s="2" t="s">
        <v>58</v>
      </c>
      <c r="G100" s="2" t="s">
        <v>114</v>
      </c>
      <c r="H100" s="2">
        <v>22</v>
      </c>
      <c r="I100" s="3">
        <v>27389.919999999998</v>
      </c>
      <c r="J100" s="3">
        <v>602578.24</v>
      </c>
      <c r="K100" s="3">
        <v>494114.16</v>
      </c>
      <c r="L100" s="3">
        <v>108464.08</v>
      </c>
      <c r="M100" s="2" t="s">
        <v>24</v>
      </c>
      <c r="N100" s="2" t="s">
        <v>25</v>
      </c>
      <c r="O100" s="3">
        <v>576500.03</v>
      </c>
      <c r="P100" s="4">
        <v>104.52</v>
      </c>
      <c r="Q100" s="4">
        <v>20.43</v>
      </c>
    </row>
    <row r="101" spans="1:17" ht="15" customHeight="1" x14ac:dyDescent="0.3">
      <c r="A101" s="5" t="s">
        <v>184</v>
      </c>
      <c r="B101" s="5" t="s">
        <v>106</v>
      </c>
      <c r="C101" s="5" t="s">
        <v>49</v>
      </c>
      <c r="D101" s="5" t="s">
        <v>70</v>
      </c>
      <c r="E101" s="5" t="s">
        <v>134</v>
      </c>
      <c r="F101" s="5" t="s">
        <v>22</v>
      </c>
      <c r="G101" s="5" t="s">
        <v>23</v>
      </c>
      <c r="H101" s="5">
        <v>27</v>
      </c>
      <c r="I101" s="6">
        <v>3303.69</v>
      </c>
      <c r="J101" s="6">
        <v>89199.63</v>
      </c>
      <c r="K101" s="6">
        <v>49059.8</v>
      </c>
      <c r="L101" s="6">
        <v>40139.83</v>
      </c>
      <c r="M101" s="5" t="s">
        <v>39</v>
      </c>
      <c r="N101" s="5" t="s">
        <v>40</v>
      </c>
      <c r="O101" s="6">
        <v>94760.42</v>
      </c>
      <c r="P101" s="7">
        <v>94.13</v>
      </c>
      <c r="Q101" s="7">
        <v>26.11</v>
      </c>
    </row>
    <row r="102" spans="1:17" ht="15" customHeight="1" x14ac:dyDescent="0.3">
      <c r="A102" s="2" t="s">
        <v>185</v>
      </c>
      <c r="B102" s="2" t="s">
        <v>18</v>
      </c>
      <c r="C102" s="2" t="s">
        <v>34</v>
      </c>
      <c r="D102" s="2" t="s">
        <v>139</v>
      </c>
      <c r="E102" s="2" t="s">
        <v>96</v>
      </c>
      <c r="F102" s="2" t="s">
        <v>58</v>
      </c>
      <c r="G102" s="2" t="s">
        <v>59</v>
      </c>
      <c r="H102" s="2">
        <v>36</v>
      </c>
      <c r="I102" s="3">
        <v>7786.36</v>
      </c>
      <c r="J102" s="3">
        <v>280308.96000000002</v>
      </c>
      <c r="K102" s="3">
        <v>229853.35</v>
      </c>
      <c r="L102" s="3">
        <v>50455.61</v>
      </c>
      <c r="M102" s="2" t="s">
        <v>24</v>
      </c>
      <c r="N102" s="2" t="s">
        <v>25</v>
      </c>
      <c r="O102" s="3">
        <v>317261.74</v>
      </c>
      <c r="P102" s="4">
        <v>88.35</v>
      </c>
      <c r="Q102" s="4">
        <v>-12.94</v>
      </c>
    </row>
    <row r="103" spans="1:17" ht="15" customHeight="1" x14ac:dyDescent="0.3">
      <c r="A103" s="5" t="s">
        <v>186</v>
      </c>
      <c r="B103" s="5" t="s">
        <v>69</v>
      </c>
      <c r="C103" s="5" t="s">
        <v>43</v>
      </c>
      <c r="D103" s="5" t="s">
        <v>130</v>
      </c>
      <c r="E103" s="5" t="s">
        <v>36</v>
      </c>
      <c r="F103" s="5" t="s">
        <v>37</v>
      </c>
      <c r="G103" s="5" t="s">
        <v>46</v>
      </c>
      <c r="H103" s="5">
        <v>45</v>
      </c>
      <c r="I103" s="6">
        <v>16887.62</v>
      </c>
      <c r="J103" s="6">
        <v>759942.9</v>
      </c>
      <c r="K103" s="6">
        <v>531960.03</v>
      </c>
      <c r="L103" s="6">
        <v>227982.87</v>
      </c>
      <c r="M103" s="5" t="s">
        <v>39</v>
      </c>
      <c r="N103" s="5" t="s">
        <v>25</v>
      </c>
      <c r="O103" s="6">
        <v>772061.83</v>
      </c>
      <c r="P103" s="7">
        <v>98.43</v>
      </c>
      <c r="Q103" s="7">
        <v>-0.11</v>
      </c>
    </row>
    <row r="104" spans="1:17" ht="15" customHeight="1" x14ac:dyDescent="0.3">
      <c r="A104" s="2" t="s">
        <v>187</v>
      </c>
      <c r="B104" s="2" t="s">
        <v>42</v>
      </c>
      <c r="C104" s="2" t="s">
        <v>19</v>
      </c>
      <c r="D104" s="2" t="s">
        <v>107</v>
      </c>
      <c r="E104" s="2" t="s">
        <v>71</v>
      </c>
      <c r="F104" s="2" t="s">
        <v>30</v>
      </c>
      <c r="G104" s="2" t="s">
        <v>100</v>
      </c>
      <c r="H104" s="2">
        <v>33</v>
      </c>
      <c r="I104" s="3">
        <v>38579</v>
      </c>
      <c r="J104" s="3">
        <v>1273107</v>
      </c>
      <c r="K104" s="3">
        <v>1018485.6</v>
      </c>
      <c r="L104" s="3">
        <v>254621.4</v>
      </c>
      <c r="M104" s="2" t="s">
        <v>24</v>
      </c>
      <c r="N104" s="2" t="s">
        <v>40</v>
      </c>
      <c r="O104" s="3">
        <v>1101292.17</v>
      </c>
      <c r="P104" s="4">
        <v>115.6</v>
      </c>
      <c r="Q104" s="4">
        <v>1.59</v>
      </c>
    </row>
    <row r="105" spans="1:17" ht="15" customHeight="1" x14ac:dyDescent="0.3">
      <c r="A105" s="5" t="s">
        <v>188</v>
      </c>
      <c r="B105" s="5" t="s">
        <v>48</v>
      </c>
      <c r="C105" s="5" t="s">
        <v>19</v>
      </c>
      <c r="D105" s="5" t="s">
        <v>107</v>
      </c>
      <c r="E105" s="5" t="s">
        <v>99</v>
      </c>
      <c r="F105" s="5" t="s">
        <v>37</v>
      </c>
      <c r="G105" s="5" t="s">
        <v>78</v>
      </c>
      <c r="H105" s="5">
        <v>5</v>
      </c>
      <c r="I105" s="6">
        <v>6165.72</v>
      </c>
      <c r="J105" s="6">
        <v>30828.6</v>
      </c>
      <c r="K105" s="6">
        <v>21580.02</v>
      </c>
      <c r="L105" s="6">
        <v>9248.58</v>
      </c>
      <c r="M105" s="5" t="s">
        <v>39</v>
      </c>
      <c r="N105" s="5" t="s">
        <v>25</v>
      </c>
      <c r="O105" s="6">
        <v>37375.64</v>
      </c>
      <c r="P105" s="7">
        <v>82.48</v>
      </c>
      <c r="Q105" s="7">
        <v>0.72</v>
      </c>
    </row>
    <row r="106" spans="1:17" ht="15" customHeight="1" x14ac:dyDescent="0.3">
      <c r="A106" s="2" t="s">
        <v>189</v>
      </c>
      <c r="B106" s="2" t="s">
        <v>27</v>
      </c>
      <c r="C106" s="2" t="s">
        <v>49</v>
      </c>
      <c r="D106" s="2" t="s">
        <v>75</v>
      </c>
      <c r="E106" s="2" t="s">
        <v>96</v>
      </c>
      <c r="F106" s="2" t="s">
        <v>37</v>
      </c>
      <c r="G106" s="2" t="s">
        <v>84</v>
      </c>
      <c r="H106" s="2">
        <v>11</v>
      </c>
      <c r="I106" s="3">
        <v>19814.72</v>
      </c>
      <c r="J106" s="3">
        <v>217961.92</v>
      </c>
      <c r="K106" s="3">
        <v>152573.34</v>
      </c>
      <c r="L106" s="3">
        <v>65388.58</v>
      </c>
      <c r="M106" s="2" t="s">
        <v>24</v>
      </c>
      <c r="N106" s="2" t="s">
        <v>40</v>
      </c>
      <c r="O106" s="3">
        <v>210661.01</v>
      </c>
      <c r="P106" s="4">
        <v>103.47</v>
      </c>
      <c r="Q106" s="4">
        <v>-4.58</v>
      </c>
    </row>
    <row r="107" spans="1:17" ht="15" customHeight="1" x14ac:dyDescent="0.3">
      <c r="A107" s="5" t="s">
        <v>190</v>
      </c>
      <c r="B107" s="5" t="s">
        <v>113</v>
      </c>
      <c r="C107" s="5" t="s">
        <v>49</v>
      </c>
      <c r="D107" s="5" t="s">
        <v>102</v>
      </c>
      <c r="E107" s="5" t="s">
        <v>54</v>
      </c>
      <c r="F107" s="5" t="s">
        <v>22</v>
      </c>
      <c r="G107" s="5" t="s">
        <v>93</v>
      </c>
      <c r="H107" s="5">
        <v>46</v>
      </c>
      <c r="I107" s="6">
        <v>2464.3000000000002</v>
      </c>
      <c r="J107" s="6">
        <v>113357.8</v>
      </c>
      <c r="K107" s="6">
        <v>62346.79</v>
      </c>
      <c r="L107" s="6">
        <v>51011.01</v>
      </c>
      <c r="M107" s="5" t="s">
        <v>24</v>
      </c>
      <c r="N107" s="5" t="s">
        <v>40</v>
      </c>
      <c r="O107" s="6">
        <v>107740.75</v>
      </c>
      <c r="P107" s="7">
        <v>105.21</v>
      </c>
      <c r="Q107" s="7">
        <v>25.87</v>
      </c>
    </row>
    <row r="108" spans="1:17" ht="15" customHeight="1" x14ac:dyDescent="0.3">
      <c r="A108" s="2" t="s">
        <v>191</v>
      </c>
      <c r="B108" s="2" t="s">
        <v>42</v>
      </c>
      <c r="C108" s="2" t="s">
        <v>43</v>
      </c>
      <c r="D108" s="2" t="s">
        <v>57</v>
      </c>
      <c r="E108" s="2" t="s">
        <v>71</v>
      </c>
      <c r="F108" s="2" t="s">
        <v>30</v>
      </c>
      <c r="G108" s="2" t="s">
        <v>31</v>
      </c>
      <c r="H108" s="2">
        <v>43</v>
      </c>
      <c r="I108" s="3">
        <v>3256.95</v>
      </c>
      <c r="J108" s="3">
        <v>140048.85</v>
      </c>
      <c r="K108" s="3">
        <v>112039.08</v>
      </c>
      <c r="L108" s="3">
        <v>28009.77</v>
      </c>
      <c r="M108" s="2" t="s">
        <v>24</v>
      </c>
      <c r="N108" s="2" t="s">
        <v>40</v>
      </c>
      <c r="O108" s="3">
        <v>167671.65</v>
      </c>
      <c r="P108" s="4">
        <v>83.53</v>
      </c>
      <c r="Q108" s="4">
        <v>17.45</v>
      </c>
    </row>
    <row r="109" spans="1:17" ht="15" customHeight="1" x14ac:dyDescent="0.3">
      <c r="A109" s="5" t="s">
        <v>192</v>
      </c>
      <c r="B109" s="5" t="s">
        <v>18</v>
      </c>
      <c r="C109" s="5" t="s">
        <v>34</v>
      </c>
      <c r="D109" s="5" t="s">
        <v>139</v>
      </c>
      <c r="E109" s="5" t="s">
        <v>99</v>
      </c>
      <c r="F109" s="5" t="s">
        <v>37</v>
      </c>
      <c r="G109" s="5" t="s">
        <v>46</v>
      </c>
      <c r="H109" s="5">
        <v>6</v>
      </c>
      <c r="I109" s="6">
        <v>18942.71</v>
      </c>
      <c r="J109" s="6">
        <v>113656.26</v>
      </c>
      <c r="K109" s="6">
        <v>79559.38</v>
      </c>
      <c r="L109" s="6">
        <v>34096.879999999997</v>
      </c>
      <c r="M109" s="5" t="s">
        <v>24</v>
      </c>
      <c r="N109" s="5" t="s">
        <v>25</v>
      </c>
      <c r="O109" s="6">
        <v>119233.02</v>
      </c>
      <c r="P109" s="7">
        <v>95.32</v>
      </c>
      <c r="Q109" s="7">
        <v>11.24</v>
      </c>
    </row>
    <row r="110" spans="1:17" ht="15" customHeight="1" x14ac:dyDescent="0.3">
      <c r="A110" s="2" t="s">
        <v>193</v>
      </c>
      <c r="B110" s="2" t="s">
        <v>95</v>
      </c>
      <c r="C110" s="2" t="s">
        <v>43</v>
      </c>
      <c r="D110" s="2" t="s">
        <v>150</v>
      </c>
      <c r="E110" s="2" t="s">
        <v>125</v>
      </c>
      <c r="F110" s="2" t="s">
        <v>30</v>
      </c>
      <c r="G110" s="2" t="s">
        <v>62</v>
      </c>
      <c r="H110" s="2">
        <v>31</v>
      </c>
      <c r="I110" s="3">
        <v>38384.449999999997</v>
      </c>
      <c r="J110" s="3">
        <v>1189917.95</v>
      </c>
      <c r="K110" s="3">
        <v>951934.36</v>
      </c>
      <c r="L110" s="3">
        <v>237983.59</v>
      </c>
      <c r="M110" s="2" t="s">
        <v>39</v>
      </c>
      <c r="N110" s="2" t="s">
        <v>25</v>
      </c>
      <c r="O110" s="3">
        <v>1131601.69</v>
      </c>
      <c r="P110" s="4">
        <v>105.15</v>
      </c>
      <c r="Q110" s="4">
        <v>23.78</v>
      </c>
    </row>
    <row r="111" spans="1:17" ht="15" customHeight="1" x14ac:dyDescent="0.3">
      <c r="A111" s="5" t="s">
        <v>193</v>
      </c>
      <c r="B111" s="5" t="s">
        <v>95</v>
      </c>
      <c r="C111" s="5" t="s">
        <v>43</v>
      </c>
      <c r="D111" s="5" t="s">
        <v>150</v>
      </c>
      <c r="E111" s="5" t="s">
        <v>21</v>
      </c>
      <c r="F111" s="5" t="s">
        <v>22</v>
      </c>
      <c r="G111" s="5" t="s">
        <v>72</v>
      </c>
      <c r="H111" s="5">
        <v>28</v>
      </c>
      <c r="I111" s="6">
        <v>4085.66</v>
      </c>
      <c r="J111" s="6">
        <v>114398.48</v>
      </c>
      <c r="K111" s="6">
        <v>62919.16</v>
      </c>
      <c r="L111" s="6">
        <v>51479.32</v>
      </c>
      <c r="M111" s="5" t="s">
        <v>24</v>
      </c>
      <c r="N111" s="5" t="s">
        <v>40</v>
      </c>
      <c r="O111" s="6">
        <v>109738.66</v>
      </c>
      <c r="P111" s="7">
        <v>104.25</v>
      </c>
      <c r="Q111" s="7">
        <v>18.97</v>
      </c>
    </row>
    <row r="112" spans="1:17" ht="15" customHeight="1" x14ac:dyDescent="0.3">
      <c r="A112" s="2" t="s">
        <v>194</v>
      </c>
      <c r="B112" s="2" t="s">
        <v>80</v>
      </c>
      <c r="C112" s="2" t="s">
        <v>49</v>
      </c>
      <c r="D112" s="2" t="s">
        <v>70</v>
      </c>
      <c r="E112" s="2" t="s">
        <v>66</v>
      </c>
      <c r="F112" s="2" t="s">
        <v>30</v>
      </c>
      <c r="G112" s="2" t="s">
        <v>140</v>
      </c>
      <c r="H112" s="2">
        <v>39</v>
      </c>
      <c r="I112" s="3">
        <v>9879.17</v>
      </c>
      <c r="J112" s="3">
        <v>385287.63</v>
      </c>
      <c r="K112" s="3">
        <v>308230.09999999998</v>
      </c>
      <c r="L112" s="3">
        <v>77057.53</v>
      </c>
      <c r="M112" s="2" t="s">
        <v>39</v>
      </c>
      <c r="N112" s="2" t="s">
        <v>40</v>
      </c>
      <c r="O112" s="3">
        <v>396925.55</v>
      </c>
      <c r="P112" s="4">
        <v>97.07</v>
      </c>
      <c r="Q112" s="4">
        <v>4.92</v>
      </c>
    </row>
    <row r="113" spans="1:17" ht="15" customHeight="1" x14ac:dyDescent="0.3">
      <c r="A113" s="5" t="s">
        <v>195</v>
      </c>
      <c r="B113" s="5" t="s">
        <v>64</v>
      </c>
      <c r="C113" s="5" t="s">
        <v>34</v>
      </c>
      <c r="D113" s="5" t="s">
        <v>144</v>
      </c>
      <c r="E113" s="5" t="s">
        <v>125</v>
      </c>
      <c r="F113" s="5" t="s">
        <v>37</v>
      </c>
      <c r="G113" s="5" t="s">
        <v>84</v>
      </c>
      <c r="H113" s="5">
        <v>4</v>
      </c>
      <c r="I113" s="6">
        <v>22865.73</v>
      </c>
      <c r="J113" s="6">
        <v>91462.92</v>
      </c>
      <c r="K113" s="6">
        <v>64024.04</v>
      </c>
      <c r="L113" s="6">
        <v>27438.880000000001</v>
      </c>
      <c r="M113" s="5" t="s">
        <v>39</v>
      </c>
      <c r="N113" s="5" t="s">
        <v>40</v>
      </c>
      <c r="O113" s="6">
        <v>82621.72</v>
      </c>
      <c r="P113" s="7">
        <v>110.7</v>
      </c>
      <c r="Q113" s="7">
        <v>5.91</v>
      </c>
    </row>
    <row r="114" spans="1:17" ht="15" customHeight="1" x14ac:dyDescent="0.3">
      <c r="A114" s="2" t="s">
        <v>196</v>
      </c>
      <c r="B114" s="2" t="s">
        <v>18</v>
      </c>
      <c r="C114" s="2" t="s">
        <v>43</v>
      </c>
      <c r="D114" s="2" t="s">
        <v>150</v>
      </c>
      <c r="E114" s="2" t="s">
        <v>54</v>
      </c>
      <c r="F114" s="2" t="s">
        <v>22</v>
      </c>
      <c r="G114" s="2" t="s">
        <v>86</v>
      </c>
      <c r="H114" s="2">
        <v>9</v>
      </c>
      <c r="I114" s="3">
        <v>2168.2399999999998</v>
      </c>
      <c r="J114" s="3">
        <v>19514.16</v>
      </c>
      <c r="K114" s="3">
        <v>10732.79</v>
      </c>
      <c r="L114" s="3">
        <v>8781.3700000000008</v>
      </c>
      <c r="M114" s="2" t="s">
        <v>39</v>
      </c>
      <c r="N114" s="2" t="s">
        <v>40</v>
      </c>
      <c r="O114" s="3">
        <v>16835.12</v>
      </c>
      <c r="P114" s="4">
        <v>115.91</v>
      </c>
      <c r="Q114" s="4">
        <v>-10.78</v>
      </c>
    </row>
    <row r="115" spans="1:17" ht="15" customHeight="1" x14ac:dyDescent="0.3">
      <c r="A115" s="5" t="s">
        <v>197</v>
      </c>
      <c r="B115" s="5" t="s">
        <v>113</v>
      </c>
      <c r="C115" s="5" t="s">
        <v>19</v>
      </c>
      <c r="D115" s="5" t="s">
        <v>28</v>
      </c>
      <c r="E115" s="5" t="s">
        <v>21</v>
      </c>
      <c r="F115" s="5" t="s">
        <v>58</v>
      </c>
      <c r="G115" s="5" t="s">
        <v>89</v>
      </c>
      <c r="H115" s="5">
        <v>44</v>
      </c>
      <c r="I115" s="6">
        <v>31448.51</v>
      </c>
      <c r="J115" s="6">
        <v>1383734.44</v>
      </c>
      <c r="K115" s="6">
        <v>1134662.24</v>
      </c>
      <c r="L115" s="6">
        <v>249072.2</v>
      </c>
      <c r="M115" s="5" t="s">
        <v>24</v>
      </c>
      <c r="N115" s="5" t="s">
        <v>25</v>
      </c>
      <c r="O115" s="6">
        <v>1298229.8600000001</v>
      </c>
      <c r="P115" s="7">
        <v>106.59</v>
      </c>
      <c r="Q115" s="7">
        <v>29.3</v>
      </c>
    </row>
    <row r="116" spans="1:17" ht="15" customHeight="1" x14ac:dyDescent="0.3">
      <c r="A116" s="2" t="s">
        <v>198</v>
      </c>
      <c r="B116" s="2" t="s">
        <v>33</v>
      </c>
      <c r="C116" s="2" t="s">
        <v>34</v>
      </c>
      <c r="D116" s="2" t="s">
        <v>144</v>
      </c>
      <c r="E116" s="2" t="s">
        <v>71</v>
      </c>
      <c r="F116" s="2" t="s">
        <v>22</v>
      </c>
      <c r="G116" s="2" t="s">
        <v>93</v>
      </c>
      <c r="H116" s="2">
        <v>31</v>
      </c>
      <c r="I116" s="3">
        <v>2595.92</v>
      </c>
      <c r="J116" s="3">
        <v>80473.52</v>
      </c>
      <c r="K116" s="3">
        <v>44260.44</v>
      </c>
      <c r="L116" s="3">
        <v>36213.08</v>
      </c>
      <c r="M116" s="2" t="s">
        <v>24</v>
      </c>
      <c r="N116" s="2" t="s">
        <v>40</v>
      </c>
      <c r="O116" s="3">
        <v>100483.47</v>
      </c>
      <c r="P116" s="4">
        <v>80.09</v>
      </c>
      <c r="Q116" s="4">
        <v>9.77</v>
      </c>
    </row>
    <row r="117" spans="1:17" ht="15" customHeight="1" x14ac:dyDescent="0.3">
      <c r="A117" s="5" t="s">
        <v>199</v>
      </c>
      <c r="B117" s="5" t="s">
        <v>48</v>
      </c>
      <c r="C117" s="5" t="s">
        <v>19</v>
      </c>
      <c r="D117" s="5" t="s">
        <v>20</v>
      </c>
      <c r="E117" s="5" t="s">
        <v>134</v>
      </c>
      <c r="F117" s="5" t="s">
        <v>52</v>
      </c>
      <c r="G117" s="5" t="s">
        <v>53</v>
      </c>
      <c r="H117" s="5">
        <v>35</v>
      </c>
      <c r="I117" s="6">
        <v>164.34</v>
      </c>
      <c r="J117" s="6">
        <v>5751.9</v>
      </c>
      <c r="K117" s="6">
        <v>5061.67</v>
      </c>
      <c r="L117" s="6">
        <v>690.23</v>
      </c>
      <c r="M117" s="5" t="s">
        <v>24</v>
      </c>
      <c r="N117" s="5" t="s">
        <v>25</v>
      </c>
      <c r="O117" s="6">
        <v>6384.94</v>
      </c>
      <c r="P117" s="7">
        <v>90.09</v>
      </c>
      <c r="Q117" s="7">
        <v>20.16</v>
      </c>
    </row>
    <row r="118" spans="1:17" ht="15" customHeight="1" x14ac:dyDescent="0.3">
      <c r="A118" s="2" t="s">
        <v>199</v>
      </c>
      <c r="B118" s="2" t="s">
        <v>48</v>
      </c>
      <c r="C118" s="2" t="s">
        <v>49</v>
      </c>
      <c r="D118" s="2" t="s">
        <v>50</v>
      </c>
      <c r="E118" s="2" t="s">
        <v>36</v>
      </c>
      <c r="F118" s="2" t="s">
        <v>52</v>
      </c>
      <c r="G118" s="2" t="s">
        <v>82</v>
      </c>
      <c r="H118" s="2">
        <v>3</v>
      </c>
      <c r="I118" s="3">
        <v>117.55</v>
      </c>
      <c r="J118" s="3">
        <v>352.65</v>
      </c>
      <c r="K118" s="3">
        <v>310.33</v>
      </c>
      <c r="L118" s="3">
        <v>42.32</v>
      </c>
      <c r="M118" s="2" t="s">
        <v>24</v>
      </c>
      <c r="N118" s="2" t="s">
        <v>40</v>
      </c>
      <c r="O118" s="3">
        <v>354.21</v>
      </c>
      <c r="P118" s="4">
        <v>99.56</v>
      </c>
      <c r="Q118" s="4">
        <v>14.87</v>
      </c>
    </row>
    <row r="119" spans="1:17" ht="15" customHeight="1" x14ac:dyDescent="0.3">
      <c r="A119" s="5" t="s">
        <v>200</v>
      </c>
      <c r="B119" s="5" t="s">
        <v>106</v>
      </c>
      <c r="C119" s="5" t="s">
        <v>43</v>
      </c>
      <c r="D119" s="5" t="s">
        <v>130</v>
      </c>
      <c r="E119" s="5" t="s">
        <v>99</v>
      </c>
      <c r="F119" s="5" t="s">
        <v>22</v>
      </c>
      <c r="G119" s="5" t="s">
        <v>86</v>
      </c>
      <c r="H119" s="5">
        <v>49</v>
      </c>
      <c r="I119" s="6">
        <v>1927.76</v>
      </c>
      <c r="J119" s="6">
        <v>94460.24</v>
      </c>
      <c r="K119" s="6">
        <v>51953.13</v>
      </c>
      <c r="L119" s="6">
        <v>42507.11</v>
      </c>
      <c r="M119" s="5" t="s">
        <v>24</v>
      </c>
      <c r="N119" s="5" t="s">
        <v>25</v>
      </c>
      <c r="O119" s="6">
        <v>80583.27</v>
      </c>
      <c r="P119" s="7">
        <v>117.22</v>
      </c>
      <c r="Q119" s="7">
        <v>18.62</v>
      </c>
    </row>
    <row r="120" spans="1:17" ht="15" customHeight="1" x14ac:dyDescent="0.3">
      <c r="A120" s="2" t="s">
        <v>201</v>
      </c>
      <c r="B120" s="2" t="s">
        <v>80</v>
      </c>
      <c r="C120" s="2" t="s">
        <v>43</v>
      </c>
      <c r="D120" s="2" t="s">
        <v>65</v>
      </c>
      <c r="E120" s="2" t="s">
        <v>134</v>
      </c>
      <c r="F120" s="2" t="s">
        <v>22</v>
      </c>
      <c r="G120" s="2" t="s">
        <v>72</v>
      </c>
      <c r="H120" s="2">
        <v>10</v>
      </c>
      <c r="I120" s="3">
        <v>4035.49</v>
      </c>
      <c r="J120" s="3">
        <v>40354.9</v>
      </c>
      <c r="K120" s="3">
        <v>22195.200000000001</v>
      </c>
      <c r="L120" s="3">
        <v>18159.7</v>
      </c>
      <c r="M120" s="2" t="s">
        <v>24</v>
      </c>
      <c r="N120" s="2" t="s">
        <v>40</v>
      </c>
      <c r="O120" s="3">
        <v>41805.64</v>
      </c>
      <c r="P120" s="4">
        <v>96.53</v>
      </c>
      <c r="Q120" s="4">
        <v>22.16</v>
      </c>
    </row>
    <row r="121" spans="1:17" ht="15" customHeight="1" x14ac:dyDescent="0.3">
      <c r="A121" s="5" t="s">
        <v>202</v>
      </c>
      <c r="B121" s="5" t="s">
        <v>64</v>
      </c>
      <c r="C121" s="5" t="s">
        <v>49</v>
      </c>
      <c r="D121" s="5" t="s">
        <v>77</v>
      </c>
      <c r="E121" s="5" t="s">
        <v>125</v>
      </c>
      <c r="F121" s="5" t="s">
        <v>37</v>
      </c>
      <c r="G121" s="5" t="s">
        <v>97</v>
      </c>
      <c r="H121" s="5">
        <v>17</v>
      </c>
      <c r="I121" s="6">
        <v>11815.68</v>
      </c>
      <c r="J121" s="6">
        <v>200866.56</v>
      </c>
      <c r="K121" s="6">
        <v>140606.59</v>
      </c>
      <c r="L121" s="6">
        <v>60259.97</v>
      </c>
      <c r="M121" s="5" t="s">
        <v>24</v>
      </c>
      <c r="N121" s="5" t="s">
        <v>25</v>
      </c>
      <c r="O121" s="6">
        <v>239173.04</v>
      </c>
      <c r="P121" s="7">
        <v>83.98</v>
      </c>
      <c r="Q121" s="7">
        <v>23.36</v>
      </c>
    </row>
  </sheetData>
  <autoFilter ref="A1:Q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21"/>
  <sheetViews>
    <sheetView workbookViewId="0">
      <pane ySplit="1" topLeftCell="A97" activePane="bottomLeft" state="frozen"/>
      <selection pane="bottomLeft" activeCell="T102" sqref="T102"/>
    </sheetView>
  </sheetViews>
  <sheetFormatPr defaultRowHeight="14.4" x14ac:dyDescent="0.3"/>
  <cols>
    <col min="1" max="1" width="13" customWidth="1"/>
    <col min="2" max="2" width="11" customWidth="1"/>
    <col min="3" max="3" width="9" customWidth="1"/>
    <col min="4" max="4" width="14" customWidth="1"/>
    <col min="5" max="5" width="22" customWidth="1"/>
    <col min="6" max="7" width="17" customWidth="1"/>
    <col min="8" max="8" width="10" customWidth="1"/>
    <col min="9" max="9" width="16" customWidth="1"/>
    <col min="10" max="13" width="14" customWidth="1"/>
    <col min="14" max="14" width="13" customWidth="1"/>
    <col min="15" max="15" width="16" customWidth="1"/>
    <col min="16" max="16" width="14" customWidth="1"/>
    <col min="17" max="17" width="10" customWidth="1"/>
  </cols>
  <sheetData>
    <row r="1" spans="1:17" ht="34.950000000000003" customHeight="1" x14ac:dyDescent="0.3">
      <c r="A1" s="24" t="s">
        <v>0</v>
      </c>
      <c r="B1" s="23"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row>
    <row r="2" spans="1:17" x14ac:dyDescent="0.3">
      <c r="A2" s="13" t="s">
        <v>112</v>
      </c>
      <c r="B2" s="13" t="s">
        <v>113</v>
      </c>
      <c r="C2" s="13" t="s">
        <v>49</v>
      </c>
      <c r="D2" s="13" t="s">
        <v>77</v>
      </c>
      <c r="E2" s="13" t="s">
        <v>45</v>
      </c>
      <c r="F2" s="13" t="s">
        <v>58</v>
      </c>
      <c r="G2" s="13" t="s">
        <v>114</v>
      </c>
      <c r="H2" s="13">
        <v>38</v>
      </c>
      <c r="I2" s="14">
        <v>24574.97</v>
      </c>
      <c r="J2" s="14">
        <v>933848.86</v>
      </c>
      <c r="K2" s="14">
        <v>765756.07</v>
      </c>
      <c r="L2" s="14">
        <v>168092.79</v>
      </c>
      <c r="M2" s="13" t="s">
        <v>39</v>
      </c>
      <c r="N2" s="13" t="s">
        <v>40</v>
      </c>
      <c r="O2" s="14">
        <v>831017.79</v>
      </c>
      <c r="P2" s="15">
        <v>112.37</v>
      </c>
      <c r="Q2" s="15">
        <v>25.97</v>
      </c>
    </row>
    <row r="3" spans="1:17" x14ac:dyDescent="0.3">
      <c r="A3" s="16" t="s">
        <v>141</v>
      </c>
      <c r="B3" s="16" t="s">
        <v>113</v>
      </c>
      <c r="C3" s="16" t="s">
        <v>34</v>
      </c>
      <c r="D3" s="16" t="s">
        <v>61</v>
      </c>
      <c r="E3" s="16" t="s">
        <v>66</v>
      </c>
      <c r="F3" s="16" t="s">
        <v>22</v>
      </c>
      <c r="G3" s="16" t="s">
        <v>86</v>
      </c>
      <c r="H3" s="16">
        <v>39</v>
      </c>
      <c r="I3" s="17">
        <v>2281.87</v>
      </c>
      <c r="J3" s="17">
        <v>88992.93</v>
      </c>
      <c r="K3" s="17">
        <v>48946.11</v>
      </c>
      <c r="L3" s="17">
        <v>40046.82</v>
      </c>
      <c r="M3" s="16" t="s">
        <v>39</v>
      </c>
      <c r="N3" s="16" t="s">
        <v>25</v>
      </c>
      <c r="O3" s="17">
        <v>109985.32</v>
      </c>
      <c r="P3" s="18">
        <v>80.91</v>
      </c>
      <c r="Q3" s="18">
        <v>-10.14</v>
      </c>
    </row>
    <row r="4" spans="1:17" x14ac:dyDescent="0.3">
      <c r="A4" s="13" t="s">
        <v>141</v>
      </c>
      <c r="B4" s="13" t="s">
        <v>113</v>
      </c>
      <c r="C4" s="13" t="s">
        <v>34</v>
      </c>
      <c r="D4" s="13" t="s">
        <v>61</v>
      </c>
      <c r="E4" s="13" t="s">
        <v>125</v>
      </c>
      <c r="F4" s="13" t="s">
        <v>30</v>
      </c>
      <c r="G4" s="13" t="s">
        <v>31</v>
      </c>
      <c r="H4" s="13">
        <v>29</v>
      </c>
      <c r="I4" s="14">
        <v>3220.39</v>
      </c>
      <c r="J4" s="14">
        <v>93391.31</v>
      </c>
      <c r="K4" s="14">
        <v>74713.05</v>
      </c>
      <c r="L4" s="14">
        <v>18678.259999999998</v>
      </c>
      <c r="M4" s="13" t="s">
        <v>39</v>
      </c>
      <c r="N4" s="13" t="s">
        <v>40</v>
      </c>
      <c r="O4" s="14">
        <v>106822.25</v>
      </c>
      <c r="P4" s="15">
        <v>87.43</v>
      </c>
      <c r="Q4" s="15">
        <v>12.17</v>
      </c>
    </row>
    <row r="5" spans="1:17" x14ac:dyDescent="0.3">
      <c r="A5" s="16" t="s">
        <v>165</v>
      </c>
      <c r="B5" s="16" t="s">
        <v>113</v>
      </c>
      <c r="C5" s="16" t="s">
        <v>43</v>
      </c>
      <c r="D5" s="16" t="s">
        <v>150</v>
      </c>
      <c r="E5" s="16" t="s">
        <v>45</v>
      </c>
      <c r="F5" s="16" t="s">
        <v>58</v>
      </c>
      <c r="G5" s="16" t="s">
        <v>114</v>
      </c>
      <c r="H5" s="16">
        <v>3</v>
      </c>
      <c r="I5" s="17">
        <v>27716.22</v>
      </c>
      <c r="J5" s="17">
        <v>83148.66</v>
      </c>
      <c r="K5" s="17">
        <v>68181.899999999994</v>
      </c>
      <c r="L5" s="17">
        <v>14966.76</v>
      </c>
      <c r="M5" s="16" t="s">
        <v>39</v>
      </c>
      <c r="N5" s="16" t="s">
        <v>40</v>
      </c>
      <c r="O5" s="17">
        <v>74915.13</v>
      </c>
      <c r="P5" s="18">
        <v>110.99</v>
      </c>
      <c r="Q5" s="18">
        <v>-1.1299999999999999</v>
      </c>
    </row>
    <row r="6" spans="1:17" x14ac:dyDescent="0.3">
      <c r="A6" s="13" t="s">
        <v>174</v>
      </c>
      <c r="B6" s="13" t="s">
        <v>113</v>
      </c>
      <c r="C6" s="13" t="s">
        <v>19</v>
      </c>
      <c r="D6" s="13" t="s">
        <v>107</v>
      </c>
      <c r="E6" s="13" t="s">
        <v>71</v>
      </c>
      <c r="F6" s="13" t="s">
        <v>37</v>
      </c>
      <c r="G6" s="13" t="s">
        <v>46</v>
      </c>
      <c r="H6" s="13">
        <v>7</v>
      </c>
      <c r="I6" s="14">
        <v>16617.36</v>
      </c>
      <c r="J6" s="14">
        <v>116321.52</v>
      </c>
      <c r="K6" s="14">
        <v>81425.06</v>
      </c>
      <c r="L6" s="14">
        <v>34896.46</v>
      </c>
      <c r="M6" s="13" t="s">
        <v>39</v>
      </c>
      <c r="N6" s="13" t="s">
        <v>40</v>
      </c>
      <c r="O6" s="14">
        <v>138306.03</v>
      </c>
      <c r="P6" s="15">
        <v>84.1</v>
      </c>
      <c r="Q6" s="15">
        <v>12.17</v>
      </c>
    </row>
    <row r="7" spans="1:17" x14ac:dyDescent="0.3">
      <c r="A7" s="16" t="s">
        <v>190</v>
      </c>
      <c r="B7" s="16" t="s">
        <v>113</v>
      </c>
      <c r="C7" s="16" t="s">
        <v>49</v>
      </c>
      <c r="D7" s="16" t="s">
        <v>102</v>
      </c>
      <c r="E7" s="16" t="s">
        <v>54</v>
      </c>
      <c r="F7" s="16" t="s">
        <v>22</v>
      </c>
      <c r="G7" s="16" t="s">
        <v>93</v>
      </c>
      <c r="H7" s="16">
        <v>46</v>
      </c>
      <c r="I7" s="17">
        <v>2464.3000000000002</v>
      </c>
      <c r="J7" s="17">
        <v>113357.8</v>
      </c>
      <c r="K7" s="17">
        <v>62346.79</v>
      </c>
      <c r="L7" s="17">
        <v>51011.01</v>
      </c>
      <c r="M7" s="16" t="s">
        <v>24</v>
      </c>
      <c r="N7" s="16" t="s">
        <v>40</v>
      </c>
      <c r="O7" s="17">
        <v>107740.75</v>
      </c>
      <c r="P7" s="18">
        <v>105.21</v>
      </c>
      <c r="Q7" s="18">
        <v>25.87</v>
      </c>
    </row>
    <row r="8" spans="1:17" x14ac:dyDescent="0.3">
      <c r="A8" s="13" t="s">
        <v>197</v>
      </c>
      <c r="B8" s="13" t="s">
        <v>113</v>
      </c>
      <c r="C8" s="13" t="s">
        <v>19</v>
      </c>
      <c r="D8" s="13" t="s">
        <v>28</v>
      </c>
      <c r="E8" s="13" t="s">
        <v>21</v>
      </c>
      <c r="F8" s="13" t="s">
        <v>58</v>
      </c>
      <c r="G8" s="13" t="s">
        <v>89</v>
      </c>
      <c r="H8" s="13">
        <v>44</v>
      </c>
      <c r="I8" s="14">
        <v>31448.51</v>
      </c>
      <c r="J8" s="14">
        <v>1383734.44</v>
      </c>
      <c r="K8" s="14">
        <v>1134662.24</v>
      </c>
      <c r="L8" s="14">
        <v>249072.2</v>
      </c>
      <c r="M8" s="13" t="s">
        <v>24</v>
      </c>
      <c r="N8" s="13" t="s">
        <v>25</v>
      </c>
      <c r="O8" s="14">
        <v>1298229.8600000001</v>
      </c>
      <c r="P8" s="15">
        <v>106.59</v>
      </c>
      <c r="Q8" s="15">
        <v>29.3</v>
      </c>
    </row>
    <row r="9" spans="1:17" x14ac:dyDescent="0.3">
      <c r="A9" s="16" t="s">
        <v>94</v>
      </c>
      <c r="B9" s="16" t="s">
        <v>95</v>
      </c>
      <c r="C9" s="16" t="s">
        <v>49</v>
      </c>
      <c r="D9" s="16" t="s">
        <v>50</v>
      </c>
      <c r="E9" s="16" t="s">
        <v>96</v>
      </c>
      <c r="F9" s="16" t="s">
        <v>37</v>
      </c>
      <c r="G9" s="16" t="s">
        <v>97</v>
      </c>
      <c r="H9" s="16">
        <v>46</v>
      </c>
      <c r="I9" s="17">
        <v>12693.31</v>
      </c>
      <c r="J9" s="17">
        <v>583892.26</v>
      </c>
      <c r="K9" s="17">
        <v>408724.58</v>
      </c>
      <c r="L9" s="17">
        <v>175167.68</v>
      </c>
      <c r="M9" s="16" t="s">
        <v>39</v>
      </c>
      <c r="N9" s="16" t="s">
        <v>25</v>
      </c>
      <c r="O9" s="17">
        <v>707775.52</v>
      </c>
      <c r="P9" s="18">
        <v>82.5</v>
      </c>
      <c r="Q9" s="18">
        <v>23.68</v>
      </c>
    </row>
    <row r="10" spans="1:17" x14ac:dyDescent="0.3">
      <c r="A10" s="13" t="s">
        <v>103</v>
      </c>
      <c r="B10" s="13" t="s">
        <v>95</v>
      </c>
      <c r="C10" s="13" t="s">
        <v>19</v>
      </c>
      <c r="D10" s="13" t="s">
        <v>20</v>
      </c>
      <c r="E10" s="13" t="s">
        <v>54</v>
      </c>
      <c r="F10" s="13" t="s">
        <v>37</v>
      </c>
      <c r="G10" s="13" t="s">
        <v>78</v>
      </c>
      <c r="H10" s="13">
        <v>13</v>
      </c>
      <c r="I10" s="14">
        <v>5621.03</v>
      </c>
      <c r="J10" s="14">
        <v>73073.39</v>
      </c>
      <c r="K10" s="14">
        <v>51151.37</v>
      </c>
      <c r="L10" s="14">
        <v>21922.02</v>
      </c>
      <c r="M10" s="13" t="s">
        <v>39</v>
      </c>
      <c r="N10" s="13" t="s">
        <v>25</v>
      </c>
      <c r="O10" s="14">
        <v>90872.2</v>
      </c>
      <c r="P10" s="15">
        <v>80.41</v>
      </c>
      <c r="Q10" s="15">
        <v>12.51</v>
      </c>
    </row>
    <row r="11" spans="1:17" x14ac:dyDescent="0.3">
      <c r="A11" s="16" t="s">
        <v>121</v>
      </c>
      <c r="B11" s="16" t="s">
        <v>95</v>
      </c>
      <c r="C11" s="16" t="s">
        <v>43</v>
      </c>
      <c r="D11" s="16" t="s">
        <v>57</v>
      </c>
      <c r="E11" s="16" t="s">
        <v>51</v>
      </c>
      <c r="F11" s="16" t="s">
        <v>22</v>
      </c>
      <c r="G11" s="16" t="s">
        <v>72</v>
      </c>
      <c r="H11" s="16">
        <v>8</v>
      </c>
      <c r="I11" s="17">
        <v>4529.1000000000004</v>
      </c>
      <c r="J11" s="17">
        <v>36232.800000000003</v>
      </c>
      <c r="K11" s="17">
        <v>19928.04</v>
      </c>
      <c r="L11" s="17">
        <v>16304.76</v>
      </c>
      <c r="M11" s="16" t="s">
        <v>24</v>
      </c>
      <c r="N11" s="16" t="s">
        <v>25</v>
      </c>
      <c r="O11" s="17">
        <v>31637.4</v>
      </c>
      <c r="P11" s="18">
        <v>114.53</v>
      </c>
      <c r="Q11" s="18">
        <v>24.51</v>
      </c>
    </row>
    <row r="12" spans="1:17" x14ac:dyDescent="0.3">
      <c r="A12" s="13" t="s">
        <v>127</v>
      </c>
      <c r="B12" s="13" t="s">
        <v>95</v>
      </c>
      <c r="C12" s="13" t="s">
        <v>34</v>
      </c>
      <c r="D12" s="13" t="s">
        <v>61</v>
      </c>
      <c r="E12" s="13" t="s">
        <v>51</v>
      </c>
      <c r="F12" s="13" t="s">
        <v>30</v>
      </c>
      <c r="G12" s="13" t="s">
        <v>31</v>
      </c>
      <c r="H12" s="13">
        <v>40</v>
      </c>
      <c r="I12" s="14">
        <v>3990.1</v>
      </c>
      <c r="J12" s="14">
        <v>159604</v>
      </c>
      <c r="K12" s="14">
        <v>127683.2</v>
      </c>
      <c r="L12" s="14">
        <v>31920.799999999999</v>
      </c>
      <c r="M12" s="13" t="s">
        <v>39</v>
      </c>
      <c r="N12" s="13" t="s">
        <v>25</v>
      </c>
      <c r="O12" s="14">
        <v>175597.28</v>
      </c>
      <c r="P12" s="15">
        <v>90.89</v>
      </c>
      <c r="Q12" s="15">
        <v>-3.09</v>
      </c>
    </row>
    <row r="13" spans="1:17" x14ac:dyDescent="0.3">
      <c r="A13" s="16" t="s">
        <v>136</v>
      </c>
      <c r="B13" s="16" t="s">
        <v>95</v>
      </c>
      <c r="C13" s="16" t="s">
        <v>43</v>
      </c>
      <c r="D13" s="16" t="s">
        <v>65</v>
      </c>
      <c r="E13" s="16" t="s">
        <v>66</v>
      </c>
      <c r="F13" s="16" t="s">
        <v>52</v>
      </c>
      <c r="G13" s="16" t="s">
        <v>53</v>
      </c>
      <c r="H13" s="16">
        <v>41</v>
      </c>
      <c r="I13" s="17">
        <v>192.89</v>
      </c>
      <c r="J13" s="17">
        <v>7908.49</v>
      </c>
      <c r="K13" s="17">
        <v>6959.47</v>
      </c>
      <c r="L13" s="17">
        <v>949.02</v>
      </c>
      <c r="M13" s="16" t="s">
        <v>39</v>
      </c>
      <c r="N13" s="16" t="s">
        <v>25</v>
      </c>
      <c r="O13" s="17">
        <v>9288.18</v>
      </c>
      <c r="P13" s="18">
        <v>85.15</v>
      </c>
      <c r="Q13" s="18">
        <v>27.71</v>
      </c>
    </row>
    <row r="14" spans="1:17" x14ac:dyDescent="0.3">
      <c r="A14" s="13" t="s">
        <v>147</v>
      </c>
      <c r="B14" s="13" t="s">
        <v>95</v>
      </c>
      <c r="C14" s="13" t="s">
        <v>19</v>
      </c>
      <c r="D14" s="13" t="s">
        <v>107</v>
      </c>
      <c r="E14" s="13" t="s">
        <v>99</v>
      </c>
      <c r="F14" s="13" t="s">
        <v>58</v>
      </c>
      <c r="G14" s="13" t="s">
        <v>114</v>
      </c>
      <c r="H14" s="13">
        <v>37</v>
      </c>
      <c r="I14" s="14">
        <v>26608.400000000001</v>
      </c>
      <c r="J14" s="14">
        <v>984510.8</v>
      </c>
      <c r="K14" s="14">
        <v>807298.86</v>
      </c>
      <c r="L14" s="14">
        <v>177211.94</v>
      </c>
      <c r="M14" s="13" t="s">
        <v>39</v>
      </c>
      <c r="N14" s="13" t="s">
        <v>25</v>
      </c>
      <c r="O14" s="14">
        <v>1128631</v>
      </c>
      <c r="P14" s="15">
        <v>87.23</v>
      </c>
      <c r="Q14" s="15">
        <v>28.73</v>
      </c>
    </row>
    <row r="15" spans="1:17" x14ac:dyDescent="0.3">
      <c r="A15" s="16" t="s">
        <v>160</v>
      </c>
      <c r="B15" s="16" t="s">
        <v>95</v>
      </c>
      <c r="C15" s="16" t="s">
        <v>34</v>
      </c>
      <c r="D15" s="16" t="s">
        <v>61</v>
      </c>
      <c r="E15" s="16" t="s">
        <v>51</v>
      </c>
      <c r="F15" s="16" t="s">
        <v>52</v>
      </c>
      <c r="G15" s="16" t="s">
        <v>161</v>
      </c>
      <c r="H15" s="16">
        <v>40</v>
      </c>
      <c r="I15" s="17">
        <v>596.12</v>
      </c>
      <c r="J15" s="17">
        <v>23844.799999999999</v>
      </c>
      <c r="K15" s="17">
        <v>20983.42</v>
      </c>
      <c r="L15" s="17">
        <v>2861.38</v>
      </c>
      <c r="M15" s="16" t="s">
        <v>24</v>
      </c>
      <c r="N15" s="16" t="s">
        <v>25</v>
      </c>
      <c r="O15" s="17">
        <v>27390.68</v>
      </c>
      <c r="P15" s="18">
        <v>87.05</v>
      </c>
      <c r="Q15" s="18">
        <v>4.53</v>
      </c>
    </row>
    <row r="16" spans="1:17" x14ac:dyDescent="0.3">
      <c r="A16" s="13" t="s">
        <v>164</v>
      </c>
      <c r="B16" s="13" t="s">
        <v>95</v>
      </c>
      <c r="C16" s="13" t="s">
        <v>19</v>
      </c>
      <c r="D16" s="13" t="s">
        <v>28</v>
      </c>
      <c r="E16" s="13" t="s">
        <v>125</v>
      </c>
      <c r="F16" s="13" t="s">
        <v>37</v>
      </c>
      <c r="G16" s="13" t="s">
        <v>78</v>
      </c>
      <c r="H16" s="13">
        <v>21</v>
      </c>
      <c r="I16" s="14">
        <v>6793.53</v>
      </c>
      <c r="J16" s="14">
        <v>142664.13</v>
      </c>
      <c r="K16" s="14">
        <v>99864.89</v>
      </c>
      <c r="L16" s="14">
        <v>42799.24</v>
      </c>
      <c r="M16" s="13" t="s">
        <v>39</v>
      </c>
      <c r="N16" s="13" t="s">
        <v>25</v>
      </c>
      <c r="O16" s="14">
        <v>147416.87</v>
      </c>
      <c r="P16" s="15">
        <v>96.78</v>
      </c>
      <c r="Q16" s="15">
        <v>29.93</v>
      </c>
    </row>
    <row r="17" spans="1:17" x14ac:dyDescent="0.3">
      <c r="A17" s="16" t="s">
        <v>180</v>
      </c>
      <c r="B17" s="16" t="s">
        <v>95</v>
      </c>
      <c r="C17" s="16" t="s">
        <v>34</v>
      </c>
      <c r="D17" s="16" t="s">
        <v>111</v>
      </c>
      <c r="E17" s="16" t="s">
        <v>134</v>
      </c>
      <c r="F17" s="16" t="s">
        <v>30</v>
      </c>
      <c r="G17" s="16" t="s">
        <v>67</v>
      </c>
      <c r="H17" s="16">
        <v>45</v>
      </c>
      <c r="I17" s="17">
        <v>31871.83</v>
      </c>
      <c r="J17" s="17">
        <v>1434232.35</v>
      </c>
      <c r="K17" s="17">
        <v>1147385.8799999999</v>
      </c>
      <c r="L17" s="17">
        <v>286846.46999999997</v>
      </c>
      <c r="M17" s="16" t="s">
        <v>24</v>
      </c>
      <c r="N17" s="16" t="s">
        <v>25</v>
      </c>
      <c r="O17" s="17">
        <v>1303758.1399999999</v>
      </c>
      <c r="P17" s="18">
        <v>110.01</v>
      </c>
      <c r="Q17" s="18">
        <v>15.94</v>
      </c>
    </row>
    <row r="18" spans="1:17" x14ac:dyDescent="0.3">
      <c r="A18" s="13" t="s">
        <v>180</v>
      </c>
      <c r="B18" s="13" t="s">
        <v>95</v>
      </c>
      <c r="C18" s="13" t="s">
        <v>19</v>
      </c>
      <c r="D18" s="13" t="s">
        <v>81</v>
      </c>
      <c r="E18" s="13" t="s">
        <v>134</v>
      </c>
      <c r="F18" s="13" t="s">
        <v>22</v>
      </c>
      <c r="G18" s="13" t="s">
        <v>72</v>
      </c>
      <c r="H18" s="13">
        <v>17</v>
      </c>
      <c r="I18" s="14">
        <v>4056.84</v>
      </c>
      <c r="J18" s="14">
        <v>68966.28</v>
      </c>
      <c r="K18" s="14">
        <v>37931.449999999997</v>
      </c>
      <c r="L18" s="14">
        <v>31034.83</v>
      </c>
      <c r="M18" s="13" t="s">
        <v>24</v>
      </c>
      <c r="N18" s="13" t="s">
        <v>25</v>
      </c>
      <c r="O18" s="14">
        <v>86190.57</v>
      </c>
      <c r="P18" s="15">
        <v>80.02</v>
      </c>
      <c r="Q18" s="15">
        <v>23.4</v>
      </c>
    </row>
    <row r="19" spans="1:17" x14ac:dyDescent="0.3">
      <c r="A19" s="16" t="s">
        <v>183</v>
      </c>
      <c r="B19" s="16" t="s">
        <v>95</v>
      </c>
      <c r="C19" s="16" t="s">
        <v>49</v>
      </c>
      <c r="D19" s="16" t="s">
        <v>77</v>
      </c>
      <c r="E19" s="16" t="s">
        <v>134</v>
      </c>
      <c r="F19" s="16" t="s">
        <v>58</v>
      </c>
      <c r="G19" s="16" t="s">
        <v>114</v>
      </c>
      <c r="H19" s="16">
        <v>22</v>
      </c>
      <c r="I19" s="17">
        <v>27389.919999999998</v>
      </c>
      <c r="J19" s="17">
        <v>602578.24</v>
      </c>
      <c r="K19" s="17">
        <v>494114.16</v>
      </c>
      <c r="L19" s="17">
        <v>108464.08</v>
      </c>
      <c r="M19" s="16" t="s">
        <v>24</v>
      </c>
      <c r="N19" s="16" t="s">
        <v>25</v>
      </c>
      <c r="O19" s="17">
        <v>576500.03</v>
      </c>
      <c r="P19" s="18">
        <v>104.52</v>
      </c>
      <c r="Q19" s="18">
        <v>20.43</v>
      </c>
    </row>
    <row r="20" spans="1:17" x14ac:dyDescent="0.3">
      <c r="A20" s="13" t="s">
        <v>183</v>
      </c>
      <c r="B20" s="13" t="s">
        <v>95</v>
      </c>
      <c r="C20" s="13" t="s">
        <v>43</v>
      </c>
      <c r="D20" s="13" t="s">
        <v>150</v>
      </c>
      <c r="E20" s="13" t="s">
        <v>36</v>
      </c>
      <c r="F20" s="13" t="s">
        <v>52</v>
      </c>
      <c r="G20" s="13" t="s">
        <v>55</v>
      </c>
      <c r="H20" s="13">
        <v>27</v>
      </c>
      <c r="I20" s="14">
        <v>355.86</v>
      </c>
      <c r="J20" s="14">
        <v>9608.2199999999993</v>
      </c>
      <c r="K20" s="14">
        <v>8455.23</v>
      </c>
      <c r="L20" s="14">
        <v>1152.99</v>
      </c>
      <c r="M20" s="13" t="s">
        <v>39</v>
      </c>
      <c r="N20" s="13" t="s">
        <v>25</v>
      </c>
      <c r="O20" s="14">
        <v>8399.94</v>
      </c>
      <c r="P20" s="15">
        <v>114.38</v>
      </c>
      <c r="Q20" s="15">
        <v>17.77</v>
      </c>
    </row>
    <row r="21" spans="1:17" x14ac:dyDescent="0.3">
      <c r="A21" s="16" t="s">
        <v>193</v>
      </c>
      <c r="B21" s="16" t="s">
        <v>95</v>
      </c>
      <c r="C21" s="16" t="s">
        <v>43</v>
      </c>
      <c r="D21" s="16" t="s">
        <v>150</v>
      </c>
      <c r="E21" s="16" t="s">
        <v>21</v>
      </c>
      <c r="F21" s="16" t="s">
        <v>22</v>
      </c>
      <c r="G21" s="16" t="s">
        <v>72</v>
      </c>
      <c r="H21" s="16">
        <v>28</v>
      </c>
      <c r="I21" s="17">
        <v>4085.66</v>
      </c>
      <c r="J21" s="17">
        <v>114398.48</v>
      </c>
      <c r="K21" s="17">
        <v>62919.16</v>
      </c>
      <c r="L21" s="17">
        <v>51479.32</v>
      </c>
      <c r="M21" s="16" t="s">
        <v>24</v>
      </c>
      <c r="N21" s="16" t="s">
        <v>40</v>
      </c>
      <c r="O21" s="17">
        <v>109738.66</v>
      </c>
      <c r="P21" s="18">
        <v>104.25</v>
      </c>
      <c r="Q21" s="18">
        <v>18.97</v>
      </c>
    </row>
    <row r="22" spans="1:17" x14ac:dyDescent="0.3">
      <c r="A22" s="13" t="s">
        <v>193</v>
      </c>
      <c r="B22" s="13" t="s">
        <v>95</v>
      </c>
      <c r="C22" s="13" t="s">
        <v>43</v>
      </c>
      <c r="D22" s="13" t="s">
        <v>150</v>
      </c>
      <c r="E22" s="13" t="s">
        <v>125</v>
      </c>
      <c r="F22" s="13" t="s">
        <v>30</v>
      </c>
      <c r="G22" s="13" t="s">
        <v>62</v>
      </c>
      <c r="H22" s="13">
        <v>31</v>
      </c>
      <c r="I22" s="14">
        <v>38384.449999999997</v>
      </c>
      <c r="J22" s="14">
        <v>1189917.95</v>
      </c>
      <c r="K22" s="14">
        <v>951934.36</v>
      </c>
      <c r="L22" s="14">
        <v>237983.59</v>
      </c>
      <c r="M22" s="13" t="s">
        <v>39</v>
      </c>
      <c r="N22" s="13" t="s">
        <v>25</v>
      </c>
      <c r="O22" s="14">
        <v>1131601.69</v>
      </c>
      <c r="P22" s="15">
        <v>105.15</v>
      </c>
      <c r="Q22" s="15">
        <v>23.78</v>
      </c>
    </row>
    <row r="23" spans="1:17" x14ac:dyDescent="0.3">
      <c r="A23" s="16" t="s">
        <v>105</v>
      </c>
      <c r="B23" s="16" t="s">
        <v>106</v>
      </c>
      <c r="C23" s="16" t="s">
        <v>19</v>
      </c>
      <c r="D23" s="16" t="s">
        <v>107</v>
      </c>
      <c r="E23" s="16" t="s">
        <v>96</v>
      </c>
      <c r="F23" s="16" t="s">
        <v>37</v>
      </c>
      <c r="G23" s="16" t="s">
        <v>38</v>
      </c>
      <c r="H23" s="16">
        <v>6</v>
      </c>
      <c r="I23" s="17">
        <v>38778</v>
      </c>
      <c r="J23" s="17">
        <v>232668</v>
      </c>
      <c r="K23" s="17">
        <v>162867.6</v>
      </c>
      <c r="L23" s="17">
        <v>69800.399999999994</v>
      </c>
      <c r="M23" s="16" t="s">
        <v>39</v>
      </c>
      <c r="N23" s="16" t="s">
        <v>40</v>
      </c>
      <c r="O23" s="17">
        <v>206754.78</v>
      </c>
      <c r="P23" s="18">
        <v>112.53</v>
      </c>
      <c r="Q23" s="18">
        <v>18.25</v>
      </c>
    </row>
    <row r="24" spans="1:17" x14ac:dyDescent="0.3">
      <c r="A24" s="13" t="s">
        <v>123</v>
      </c>
      <c r="B24" s="13" t="s">
        <v>106</v>
      </c>
      <c r="C24" s="13" t="s">
        <v>19</v>
      </c>
      <c r="D24" s="13" t="s">
        <v>28</v>
      </c>
      <c r="E24" s="13" t="s">
        <v>51</v>
      </c>
      <c r="F24" s="13" t="s">
        <v>58</v>
      </c>
      <c r="G24" s="13" t="s">
        <v>114</v>
      </c>
      <c r="H24" s="13">
        <v>3</v>
      </c>
      <c r="I24" s="14">
        <v>24402.28</v>
      </c>
      <c r="J24" s="14">
        <v>73206.84</v>
      </c>
      <c r="K24" s="14">
        <v>60029.61</v>
      </c>
      <c r="L24" s="14">
        <v>13177.23</v>
      </c>
      <c r="M24" s="13" t="s">
        <v>24</v>
      </c>
      <c r="N24" s="13" t="s">
        <v>25</v>
      </c>
      <c r="O24" s="14">
        <v>65071.86</v>
      </c>
      <c r="P24" s="15">
        <v>112.5</v>
      </c>
      <c r="Q24" s="15">
        <v>24.93</v>
      </c>
    </row>
    <row r="25" spans="1:17" x14ac:dyDescent="0.3">
      <c r="A25" s="16" t="s">
        <v>149</v>
      </c>
      <c r="B25" s="16" t="s">
        <v>106</v>
      </c>
      <c r="C25" s="16" t="s">
        <v>43</v>
      </c>
      <c r="D25" s="16" t="s">
        <v>150</v>
      </c>
      <c r="E25" s="16" t="s">
        <v>99</v>
      </c>
      <c r="F25" s="16" t="s">
        <v>22</v>
      </c>
      <c r="G25" s="16" t="s">
        <v>86</v>
      </c>
      <c r="H25" s="16">
        <v>37</v>
      </c>
      <c r="I25" s="17">
        <v>1902.6</v>
      </c>
      <c r="J25" s="17">
        <v>70396.2</v>
      </c>
      <c r="K25" s="17">
        <v>38717.910000000003</v>
      </c>
      <c r="L25" s="17">
        <v>31678.29</v>
      </c>
      <c r="M25" s="16" t="s">
        <v>39</v>
      </c>
      <c r="N25" s="16" t="s">
        <v>25</v>
      </c>
      <c r="O25" s="17">
        <v>82731.11</v>
      </c>
      <c r="P25" s="18">
        <v>85.09</v>
      </c>
      <c r="Q25" s="18">
        <v>-4.5199999999999996</v>
      </c>
    </row>
    <row r="26" spans="1:17" x14ac:dyDescent="0.3">
      <c r="A26" s="13" t="s">
        <v>153</v>
      </c>
      <c r="B26" s="13" t="s">
        <v>106</v>
      </c>
      <c r="C26" s="13" t="s">
        <v>19</v>
      </c>
      <c r="D26" s="13" t="s">
        <v>28</v>
      </c>
      <c r="E26" s="13" t="s">
        <v>29</v>
      </c>
      <c r="F26" s="13" t="s">
        <v>58</v>
      </c>
      <c r="G26" s="13" t="s">
        <v>114</v>
      </c>
      <c r="H26" s="13">
        <v>41</v>
      </c>
      <c r="I26" s="14">
        <v>26186.18</v>
      </c>
      <c r="J26" s="14">
        <v>1073633.3799999999</v>
      </c>
      <c r="K26" s="14">
        <v>880379.37</v>
      </c>
      <c r="L26" s="14">
        <v>193254.01</v>
      </c>
      <c r="M26" s="13" t="s">
        <v>39</v>
      </c>
      <c r="N26" s="13" t="s">
        <v>40</v>
      </c>
      <c r="O26" s="14">
        <v>961879.44</v>
      </c>
      <c r="P26" s="15">
        <v>111.62</v>
      </c>
      <c r="Q26" s="15">
        <v>-4.88</v>
      </c>
    </row>
    <row r="27" spans="1:17" x14ac:dyDescent="0.3">
      <c r="A27" s="16" t="s">
        <v>157</v>
      </c>
      <c r="B27" s="16" t="s">
        <v>106</v>
      </c>
      <c r="C27" s="16" t="s">
        <v>49</v>
      </c>
      <c r="D27" s="16" t="s">
        <v>75</v>
      </c>
      <c r="E27" s="16" t="s">
        <v>51</v>
      </c>
      <c r="F27" s="16" t="s">
        <v>22</v>
      </c>
      <c r="G27" s="16" t="s">
        <v>93</v>
      </c>
      <c r="H27" s="16">
        <v>36</v>
      </c>
      <c r="I27" s="17">
        <v>2504.9899999999998</v>
      </c>
      <c r="J27" s="17">
        <v>90179.64</v>
      </c>
      <c r="K27" s="17">
        <v>49598.8</v>
      </c>
      <c r="L27" s="17">
        <v>40580.839999999997</v>
      </c>
      <c r="M27" s="16" t="s">
        <v>39</v>
      </c>
      <c r="N27" s="16" t="s">
        <v>25</v>
      </c>
      <c r="O27" s="17">
        <v>93297.98</v>
      </c>
      <c r="P27" s="18">
        <v>96.66</v>
      </c>
      <c r="Q27" s="18">
        <v>-9.7100000000000009</v>
      </c>
    </row>
    <row r="28" spans="1:17" x14ac:dyDescent="0.3">
      <c r="A28" s="13" t="s">
        <v>182</v>
      </c>
      <c r="B28" s="13" t="s">
        <v>106</v>
      </c>
      <c r="C28" s="13" t="s">
        <v>19</v>
      </c>
      <c r="D28" s="13" t="s">
        <v>178</v>
      </c>
      <c r="E28" s="13" t="s">
        <v>71</v>
      </c>
      <c r="F28" s="13" t="s">
        <v>37</v>
      </c>
      <c r="G28" s="13" t="s">
        <v>97</v>
      </c>
      <c r="H28" s="13">
        <v>50</v>
      </c>
      <c r="I28" s="14">
        <v>12479.65</v>
      </c>
      <c r="J28" s="14">
        <v>623982.5</v>
      </c>
      <c r="K28" s="14">
        <v>436787.75</v>
      </c>
      <c r="L28" s="14">
        <v>187194.75</v>
      </c>
      <c r="M28" s="13" t="s">
        <v>24</v>
      </c>
      <c r="N28" s="13" t="s">
        <v>25</v>
      </c>
      <c r="O28" s="14">
        <v>761449.29</v>
      </c>
      <c r="P28" s="15">
        <v>81.95</v>
      </c>
      <c r="Q28" s="15">
        <v>-4.3499999999999996</v>
      </c>
    </row>
    <row r="29" spans="1:17" x14ac:dyDescent="0.3">
      <c r="A29" s="16" t="s">
        <v>184</v>
      </c>
      <c r="B29" s="16" t="s">
        <v>106</v>
      </c>
      <c r="C29" s="16" t="s">
        <v>49</v>
      </c>
      <c r="D29" s="16" t="s">
        <v>70</v>
      </c>
      <c r="E29" s="16" t="s">
        <v>134</v>
      </c>
      <c r="F29" s="16" t="s">
        <v>22</v>
      </c>
      <c r="G29" s="16" t="s">
        <v>23</v>
      </c>
      <c r="H29" s="16">
        <v>27</v>
      </c>
      <c r="I29" s="17">
        <v>3303.69</v>
      </c>
      <c r="J29" s="17">
        <v>89199.63</v>
      </c>
      <c r="K29" s="17">
        <v>49059.8</v>
      </c>
      <c r="L29" s="17">
        <v>40139.83</v>
      </c>
      <c r="M29" s="16" t="s">
        <v>39</v>
      </c>
      <c r="N29" s="16" t="s">
        <v>40</v>
      </c>
      <c r="O29" s="17">
        <v>94760.42</v>
      </c>
      <c r="P29" s="18">
        <v>94.13</v>
      </c>
      <c r="Q29" s="18">
        <v>26.11</v>
      </c>
    </row>
    <row r="30" spans="1:17" x14ac:dyDescent="0.3">
      <c r="A30" s="13" t="s">
        <v>200</v>
      </c>
      <c r="B30" s="13" t="s">
        <v>106</v>
      </c>
      <c r="C30" s="13" t="s">
        <v>43</v>
      </c>
      <c r="D30" s="13" t="s">
        <v>130</v>
      </c>
      <c r="E30" s="13" t="s">
        <v>99</v>
      </c>
      <c r="F30" s="13" t="s">
        <v>22</v>
      </c>
      <c r="G30" s="13" t="s">
        <v>86</v>
      </c>
      <c r="H30" s="13">
        <v>49</v>
      </c>
      <c r="I30" s="14">
        <v>1927.76</v>
      </c>
      <c r="J30" s="14">
        <v>94460.24</v>
      </c>
      <c r="K30" s="14">
        <v>51953.13</v>
      </c>
      <c r="L30" s="14">
        <v>42507.11</v>
      </c>
      <c r="M30" s="13" t="s">
        <v>24</v>
      </c>
      <c r="N30" s="13" t="s">
        <v>25</v>
      </c>
      <c r="O30" s="14">
        <v>80583.27</v>
      </c>
      <c r="P30" s="15">
        <v>117.22</v>
      </c>
      <c r="Q30" s="15">
        <v>18.62</v>
      </c>
    </row>
    <row r="31" spans="1:17" x14ac:dyDescent="0.3">
      <c r="A31" s="16" t="s">
        <v>17</v>
      </c>
      <c r="B31" s="16" t="s">
        <v>18</v>
      </c>
      <c r="C31" s="16" t="s">
        <v>19</v>
      </c>
      <c r="D31" s="16" t="s">
        <v>20</v>
      </c>
      <c r="E31" s="16" t="s">
        <v>21</v>
      </c>
      <c r="F31" s="16" t="s">
        <v>22</v>
      </c>
      <c r="G31" s="16" t="s">
        <v>23</v>
      </c>
      <c r="H31" s="16">
        <v>33</v>
      </c>
      <c r="I31" s="17">
        <v>3499.72</v>
      </c>
      <c r="J31" s="17">
        <v>115490.76</v>
      </c>
      <c r="K31" s="17">
        <v>63519.92</v>
      </c>
      <c r="L31" s="17">
        <v>51970.84</v>
      </c>
      <c r="M31" s="16" t="s">
        <v>24</v>
      </c>
      <c r="N31" s="16" t="s">
        <v>25</v>
      </c>
      <c r="O31" s="17">
        <v>103495.51</v>
      </c>
      <c r="P31" s="18">
        <v>111.59</v>
      </c>
      <c r="Q31" s="18">
        <v>28.67</v>
      </c>
    </row>
    <row r="32" spans="1:17" x14ac:dyDescent="0.3">
      <c r="A32" s="13" t="s">
        <v>101</v>
      </c>
      <c r="B32" s="13" t="s">
        <v>18</v>
      </c>
      <c r="C32" s="13" t="s">
        <v>49</v>
      </c>
      <c r="D32" s="13" t="s">
        <v>102</v>
      </c>
      <c r="E32" s="13" t="s">
        <v>45</v>
      </c>
      <c r="F32" s="13" t="s">
        <v>52</v>
      </c>
      <c r="G32" s="13" t="s">
        <v>82</v>
      </c>
      <c r="H32" s="13">
        <v>9</v>
      </c>
      <c r="I32" s="14">
        <v>129.69999999999999</v>
      </c>
      <c r="J32" s="14">
        <v>1167.3</v>
      </c>
      <c r="K32" s="14">
        <v>1027.22</v>
      </c>
      <c r="L32" s="14">
        <v>140.08000000000001</v>
      </c>
      <c r="M32" s="13" t="s">
        <v>24</v>
      </c>
      <c r="N32" s="13" t="s">
        <v>25</v>
      </c>
      <c r="O32" s="14">
        <v>1358.56</v>
      </c>
      <c r="P32" s="15">
        <v>85.92</v>
      </c>
      <c r="Q32" s="15">
        <v>21.34</v>
      </c>
    </row>
    <row r="33" spans="1:17" x14ac:dyDescent="0.3">
      <c r="A33" s="16" t="s">
        <v>154</v>
      </c>
      <c r="B33" s="16" t="s">
        <v>18</v>
      </c>
      <c r="C33" s="16" t="s">
        <v>43</v>
      </c>
      <c r="D33" s="16" t="s">
        <v>65</v>
      </c>
      <c r="E33" s="16" t="s">
        <v>99</v>
      </c>
      <c r="F33" s="16" t="s">
        <v>58</v>
      </c>
      <c r="G33" s="16" t="s">
        <v>116</v>
      </c>
      <c r="H33" s="16">
        <v>9</v>
      </c>
      <c r="I33" s="17">
        <v>4792.22</v>
      </c>
      <c r="J33" s="17">
        <v>43129.98</v>
      </c>
      <c r="K33" s="17">
        <v>35366.58</v>
      </c>
      <c r="L33" s="17">
        <v>7763.4</v>
      </c>
      <c r="M33" s="16" t="s">
        <v>39</v>
      </c>
      <c r="N33" s="16" t="s">
        <v>40</v>
      </c>
      <c r="O33" s="17">
        <v>45763.91</v>
      </c>
      <c r="P33" s="18">
        <v>94.24</v>
      </c>
      <c r="Q33" s="18">
        <v>12.3</v>
      </c>
    </row>
    <row r="34" spans="1:17" x14ac:dyDescent="0.3">
      <c r="A34" s="13" t="s">
        <v>163</v>
      </c>
      <c r="B34" s="13" t="s">
        <v>18</v>
      </c>
      <c r="C34" s="13" t="s">
        <v>43</v>
      </c>
      <c r="D34" s="13" t="s">
        <v>150</v>
      </c>
      <c r="E34" s="13" t="s">
        <v>51</v>
      </c>
      <c r="F34" s="13" t="s">
        <v>37</v>
      </c>
      <c r="G34" s="13" t="s">
        <v>46</v>
      </c>
      <c r="H34" s="13">
        <v>40</v>
      </c>
      <c r="I34" s="14">
        <v>16885.72</v>
      </c>
      <c r="J34" s="14">
        <v>675428.8</v>
      </c>
      <c r="K34" s="14">
        <v>472800.16</v>
      </c>
      <c r="L34" s="14">
        <v>202628.64</v>
      </c>
      <c r="M34" s="13" t="s">
        <v>39</v>
      </c>
      <c r="N34" s="13" t="s">
        <v>40</v>
      </c>
      <c r="O34" s="14">
        <v>754983.19</v>
      </c>
      <c r="P34" s="15">
        <v>89.46</v>
      </c>
      <c r="Q34" s="15">
        <v>10.38</v>
      </c>
    </row>
    <row r="35" spans="1:17" x14ac:dyDescent="0.3">
      <c r="A35" s="16" t="s">
        <v>168</v>
      </c>
      <c r="B35" s="16" t="s">
        <v>18</v>
      </c>
      <c r="C35" s="16" t="s">
        <v>49</v>
      </c>
      <c r="D35" s="16" t="s">
        <v>77</v>
      </c>
      <c r="E35" s="16" t="s">
        <v>99</v>
      </c>
      <c r="F35" s="16" t="s">
        <v>52</v>
      </c>
      <c r="G35" s="16" t="s">
        <v>132</v>
      </c>
      <c r="H35" s="16">
        <v>17</v>
      </c>
      <c r="I35" s="17">
        <v>205.68</v>
      </c>
      <c r="J35" s="17">
        <v>3496.56</v>
      </c>
      <c r="K35" s="17">
        <v>3076.97</v>
      </c>
      <c r="L35" s="17">
        <v>419.59</v>
      </c>
      <c r="M35" s="16" t="s">
        <v>24</v>
      </c>
      <c r="N35" s="16" t="s">
        <v>40</v>
      </c>
      <c r="O35" s="17">
        <v>4227.79</v>
      </c>
      <c r="P35" s="18">
        <v>82.7</v>
      </c>
      <c r="Q35" s="18">
        <v>2.97</v>
      </c>
    </row>
    <row r="36" spans="1:17" x14ac:dyDescent="0.3">
      <c r="A36" s="13" t="s">
        <v>172</v>
      </c>
      <c r="B36" s="13" t="s">
        <v>18</v>
      </c>
      <c r="C36" s="13" t="s">
        <v>34</v>
      </c>
      <c r="D36" s="13" t="s">
        <v>111</v>
      </c>
      <c r="E36" s="13" t="s">
        <v>134</v>
      </c>
      <c r="F36" s="13" t="s">
        <v>30</v>
      </c>
      <c r="G36" s="13" t="s">
        <v>67</v>
      </c>
      <c r="H36" s="13">
        <v>31</v>
      </c>
      <c r="I36" s="14">
        <v>33967.22</v>
      </c>
      <c r="J36" s="14">
        <v>1052983.82</v>
      </c>
      <c r="K36" s="14">
        <v>842387.06</v>
      </c>
      <c r="L36" s="14">
        <v>210596.76</v>
      </c>
      <c r="M36" s="13" t="s">
        <v>24</v>
      </c>
      <c r="N36" s="13" t="s">
        <v>40</v>
      </c>
      <c r="O36" s="14">
        <v>1229014.44</v>
      </c>
      <c r="P36" s="15">
        <v>85.68</v>
      </c>
      <c r="Q36" s="15">
        <v>-10.81</v>
      </c>
    </row>
    <row r="37" spans="1:17" x14ac:dyDescent="0.3">
      <c r="A37" s="16" t="s">
        <v>185</v>
      </c>
      <c r="B37" s="16" t="s">
        <v>18</v>
      </c>
      <c r="C37" s="16" t="s">
        <v>34</v>
      </c>
      <c r="D37" s="16" t="s">
        <v>139</v>
      </c>
      <c r="E37" s="16" t="s">
        <v>96</v>
      </c>
      <c r="F37" s="16" t="s">
        <v>58</v>
      </c>
      <c r="G37" s="16" t="s">
        <v>59</v>
      </c>
      <c r="H37" s="16">
        <v>36</v>
      </c>
      <c r="I37" s="17">
        <v>7786.36</v>
      </c>
      <c r="J37" s="17">
        <v>280308.96000000002</v>
      </c>
      <c r="K37" s="17">
        <v>229853.35</v>
      </c>
      <c r="L37" s="17">
        <v>50455.61</v>
      </c>
      <c r="M37" s="16" t="s">
        <v>24</v>
      </c>
      <c r="N37" s="16" t="s">
        <v>25</v>
      </c>
      <c r="O37" s="17">
        <v>317261.74</v>
      </c>
      <c r="P37" s="18">
        <v>88.35</v>
      </c>
      <c r="Q37" s="18">
        <v>-12.94</v>
      </c>
    </row>
    <row r="38" spans="1:17" x14ac:dyDescent="0.3">
      <c r="A38" s="13" t="s">
        <v>192</v>
      </c>
      <c r="B38" s="13" t="s">
        <v>18</v>
      </c>
      <c r="C38" s="13" t="s">
        <v>34</v>
      </c>
      <c r="D38" s="13" t="s">
        <v>139</v>
      </c>
      <c r="E38" s="13" t="s">
        <v>99</v>
      </c>
      <c r="F38" s="13" t="s">
        <v>37</v>
      </c>
      <c r="G38" s="13" t="s">
        <v>46</v>
      </c>
      <c r="H38" s="13">
        <v>6</v>
      </c>
      <c r="I38" s="14">
        <v>18942.71</v>
      </c>
      <c r="J38" s="14">
        <v>113656.26</v>
      </c>
      <c r="K38" s="14">
        <v>79559.38</v>
      </c>
      <c r="L38" s="14">
        <v>34096.879999999997</v>
      </c>
      <c r="M38" s="13" t="s">
        <v>24</v>
      </c>
      <c r="N38" s="13" t="s">
        <v>25</v>
      </c>
      <c r="O38" s="14">
        <v>119233.02</v>
      </c>
      <c r="P38" s="15">
        <v>95.32</v>
      </c>
      <c r="Q38" s="15">
        <v>11.24</v>
      </c>
    </row>
    <row r="39" spans="1:17" x14ac:dyDescent="0.3">
      <c r="A39" s="16" t="s">
        <v>196</v>
      </c>
      <c r="B39" s="16" t="s">
        <v>18</v>
      </c>
      <c r="C39" s="16" t="s">
        <v>43</v>
      </c>
      <c r="D39" s="16" t="s">
        <v>150</v>
      </c>
      <c r="E39" s="16" t="s">
        <v>54</v>
      </c>
      <c r="F39" s="16" t="s">
        <v>22</v>
      </c>
      <c r="G39" s="16" t="s">
        <v>86</v>
      </c>
      <c r="H39" s="16">
        <v>9</v>
      </c>
      <c r="I39" s="17">
        <v>2168.2399999999998</v>
      </c>
      <c r="J39" s="17">
        <v>19514.16</v>
      </c>
      <c r="K39" s="17">
        <v>10732.79</v>
      </c>
      <c r="L39" s="17">
        <v>8781.3700000000008</v>
      </c>
      <c r="M39" s="16" t="s">
        <v>39</v>
      </c>
      <c r="N39" s="16" t="s">
        <v>40</v>
      </c>
      <c r="O39" s="17">
        <v>16835.12</v>
      </c>
      <c r="P39" s="18">
        <v>115.91</v>
      </c>
      <c r="Q39" s="18">
        <v>-10.78</v>
      </c>
    </row>
    <row r="40" spans="1:17" x14ac:dyDescent="0.3">
      <c r="A40" s="13" t="s">
        <v>41</v>
      </c>
      <c r="B40" s="13" t="s">
        <v>42</v>
      </c>
      <c r="C40" s="13" t="s">
        <v>43</v>
      </c>
      <c r="D40" s="13" t="s">
        <v>44</v>
      </c>
      <c r="E40" s="13" t="s">
        <v>45</v>
      </c>
      <c r="F40" s="13" t="s">
        <v>37</v>
      </c>
      <c r="G40" s="13" t="s">
        <v>46</v>
      </c>
      <c r="H40" s="13">
        <v>17</v>
      </c>
      <c r="I40" s="14">
        <v>19793.310000000001</v>
      </c>
      <c r="J40" s="14">
        <v>336486.27</v>
      </c>
      <c r="K40" s="14">
        <v>235540.39</v>
      </c>
      <c r="L40" s="14">
        <v>100945.88</v>
      </c>
      <c r="M40" s="13" t="s">
        <v>39</v>
      </c>
      <c r="N40" s="13" t="s">
        <v>25</v>
      </c>
      <c r="O40" s="14">
        <v>303753.32</v>
      </c>
      <c r="P40" s="15">
        <v>110.78</v>
      </c>
      <c r="Q40" s="15">
        <v>1.1200000000000001</v>
      </c>
    </row>
    <row r="41" spans="1:17" x14ac:dyDescent="0.3">
      <c r="A41" s="16" t="s">
        <v>56</v>
      </c>
      <c r="B41" s="16" t="s">
        <v>42</v>
      </c>
      <c r="C41" s="16" t="s">
        <v>43</v>
      </c>
      <c r="D41" s="16" t="s">
        <v>57</v>
      </c>
      <c r="E41" s="16" t="s">
        <v>21</v>
      </c>
      <c r="F41" s="16" t="s">
        <v>58</v>
      </c>
      <c r="G41" s="16" t="s">
        <v>59</v>
      </c>
      <c r="H41" s="16">
        <v>38</v>
      </c>
      <c r="I41" s="17">
        <v>8330.4500000000007</v>
      </c>
      <c r="J41" s="17">
        <v>316557.09999999998</v>
      </c>
      <c r="K41" s="17">
        <v>259576.82</v>
      </c>
      <c r="L41" s="17">
        <v>56980.28</v>
      </c>
      <c r="M41" s="16" t="s">
        <v>24</v>
      </c>
      <c r="N41" s="16" t="s">
        <v>40</v>
      </c>
      <c r="O41" s="17">
        <v>294937.40999999997</v>
      </c>
      <c r="P41" s="18">
        <v>107.33</v>
      </c>
      <c r="Q41" s="18">
        <v>17.23</v>
      </c>
    </row>
    <row r="42" spans="1:17" x14ac:dyDescent="0.3">
      <c r="A42" s="13" t="s">
        <v>76</v>
      </c>
      <c r="B42" s="13" t="s">
        <v>42</v>
      </c>
      <c r="C42" s="13" t="s">
        <v>49</v>
      </c>
      <c r="D42" s="13" t="s">
        <v>77</v>
      </c>
      <c r="E42" s="13" t="s">
        <v>29</v>
      </c>
      <c r="F42" s="13" t="s">
        <v>37</v>
      </c>
      <c r="G42" s="13" t="s">
        <v>78</v>
      </c>
      <c r="H42" s="13">
        <v>22</v>
      </c>
      <c r="I42" s="14">
        <v>5819.49</v>
      </c>
      <c r="J42" s="14">
        <v>128028.78</v>
      </c>
      <c r="K42" s="14">
        <v>89620.15</v>
      </c>
      <c r="L42" s="14">
        <v>38408.629999999997</v>
      </c>
      <c r="M42" s="13" t="s">
        <v>24</v>
      </c>
      <c r="N42" s="13" t="s">
        <v>25</v>
      </c>
      <c r="O42" s="14">
        <v>135281.73000000001</v>
      </c>
      <c r="P42" s="15">
        <v>94.64</v>
      </c>
      <c r="Q42" s="15">
        <v>-6.4</v>
      </c>
    </row>
    <row r="43" spans="1:17" x14ac:dyDescent="0.3">
      <c r="A43" s="16" t="s">
        <v>87</v>
      </c>
      <c r="B43" s="16" t="s">
        <v>42</v>
      </c>
      <c r="C43" s="16" t="s">
        <v>43</v>
      </c>
      <c r="D43" s="16" t="s">
        <v>65</v>
      </c>
      <c r="E43" s="16" t="s">
        <v>51</v>
      </c>
      <c r="F43" s="16" t="s">
        <v>37</v>
      </c>
      <c r="G43" s="16" t="s">
        <v>78</v>
      </c>
      <c r="H43" s="16">
        <v>3</v>
      </c>
      <c r="I43" s="17">
        <v>5886.56</v>
      </c>
      <c r="J43" s="17">
        <v>17659.68</v>
      </c>
      <c r="K43" s="17">
        <v>12361.78</v>
      </c>
      <c r="L43" s="17">
        <v>5297.9</v>
      </c>
      <c r="M43" s="16" t="s">
        <v>39</v>
      </c>
      <c r="N43" s="16" t="s">
        <v>40</v>
      </c>
      <c r="O43" s="17">
        <v>17542.87</v>
      </c>
      <c r="P43" s="18">
        <v>100.67</v>
      </c>
      <c r="Q43" s="18">
        <v>4.38</v>
      </c>
    </row>
    <row r="44" spans="1:17" x14ac:dyDescent="0.3">
      <c r="A44" s="13" t="s">
        <v>98</v>
      </c>
      <c r="B44" s="13" t="s">
        <v>42</v>
      </c>
      <c r="C44" s="13" t="s">
        <v>49</v>
      </c>
      <c r="D44" s="13" t="s">
        <v>70</v>
      </c>
      <c r="E44" s="13" t="s">
        <v>99</v>
      </c>
      <c r="F44" s="13" t="s">
        <v>30</v>
      </c>
      <c r="G44" s="13" t="s">
        <v>100</v>
      </c>
      <c r="H44" s="13">
        <v>5</v>
      </c>
      <c r="I44" s="14">
        <v>44047.87</v>
      </c>
      <c r="J44" s="14">
        <v>220239.35</v>
      </c>
      <c r="K44" s="14">
        <v>176191.48</v>
      </c>
      <c r="L44" s="14">
        <v>44047.87</v>
      </c>
      <c r="M44" s="13" t="s">
        <v>39</v>
      </c>
      <c r="N44" s="13" t="s">
        <v>40</v>
      </c>
      <c r="O44" s="14">
        <v>197764.95</v>
      </c>
      <c r="P44" s="15">
        <v>111.36</v>
      </c>
      <c r="Q44" s="15">
        <v>25.06</v>
      </c>
    </row>
    <row r="45" spans="1:17" x14ac:dyDescent="0.3">
      <c r="A45" s="16" t="s">
        <v>151</v>
      </c>
      <c r="B45" s="16" t="s">
        <v>42</v>
      </c>
      <c r="C45" s="16" t="s">
        <v>19</v>
      </c>
      <c r="D45" s="16" t="s">
        <v>20</v>
      </c>
      <c r="E45" s="16" t="s">
        <v>36</v>
      </c>
      <c r="F45" s="16" t="s">
        <v>37</v>
      </c>
      <c r="G45" s="16" t="s">
        <v>97</v>
      </c>
      <c r="H45" s="16">
        <v>18</v>
      </c>
      <c r="I45" s="17">
        <v>12160.23</v>
      </c>
      <c r="J45" s="17">
        <v>218884.14</v>
      </c>
      <c r="K45" s="17">
        <v>153218.9</v>
      </c>
      <c r="L45" s="17">
        <v>65665.240000000005</v>
      </c>
      <c r="M45" s="16" t="s">
        <v>24</v>
      </c>
      <c r="N45" s="16" t="s">
        <v>25</v>
      </c>
      <c r="O45" s="17">
        <v>218462.22</v>
      </c>
      <c r="P45" s="18">
        <v>100.19</v>
      </c>
      <c r="Q45" s="18">
        <v>-5.57</v>
      </c>
    </row>
    <row r="46" spans="1:17" x14ac:dyDescent="0.3">
      <c r="A46" s="13" t="s">
        <v>162</v>
      </c>
      <c r="B46" s="13" t="s">
        <v>42</v>
      </c>
      <c r="C46" s="13" t="s">
        <v>34</v>
      </c>
      <c r="D46" s="13" t="s">
        <v>111</v>
      </c>
      <c r="E46" s="13" t="s">
        <v>134</v>
      </c>
      <c r="F46" s="13" t="s">
        <v>58</v>
      </c>
      <c r="G46" s="13" t="s">
        <v>59</v>
      </c>
      <c r="H46" s="13">
        <v>29</v>
      </c>
      <c r="I46" s="14">
        <v>7346.98</v>
      </c>
      <c r="J46" s="14">
        <v>213062.42</v>
      </c>
      <c r="K46" s="14">
        <v>174711.18</v>
      </c>
      <c r="L46" s="14">
        <v>38351.24</v>
      </c>
      <c r="M46" s="13" t="s">
        <v>39</v>
      </c>
      <c r="N46" s="13" t="s">
        <v>40</v>
      </c>
      <c r="O46" s="14">
        <v>232945.19</v>
      </c>
      <c r="P46" s="15">
        <v>91.46</v>
      </c>
      <c r="Q46" s="15">
        <v>-12.04</v>
      </c>
    </row>
    <row r="47" spans="1:17" x14ac:dyDescent="0.3">
      <c r="A47" s="16" t="s">
        <v>162</v>
      </c>
      <c r="B47" s="16" t="s">
        <v>42</v>
      </c>
      <c r="C47" s="16" t="s">
        <v>49</v>
      </c>
      <c r="D47" s="16" t="s">
        <v>77</v>
      </c>
      <c r="E47" s="16" t="s">
        <v>66</v>
      </c>
      <c r="F47" s="16" t="s">
        <v>30</v>
      </c>
      <c r="G47" s="16" t="s">
        <v>62</v>
      </c>
      <c r="H47" s="16">
        <v>19</v>
      </c>
      <c r="I47" s="17">
        <v>43630.57</v>
      </c>
      <c r="J47" s="17">
        <v>828980.83</v>
      </c>
      <c r="K47" s="17">
        <v>663184.66</v>
      </c>
      <c r="L47" s="17">
        <v>165796.17000000001</v>
      </c>
      <c r="M47" s="16" t="s">
        <v>24</v>
      </c>
      <c r="N47" s="16" t="s">
        <v>25</v>
      </c>
      <c r="O47" s="17">
        <v>1028912.6</v>
      </c>
      <c r="P47" s="18">
        <v>80.569999999999993</v>
      </c>
      <c r="Q47" s="18">
        <v>14.62</v>
      </c>
    </row>
    <row r="48" spans="1:17" x14ac:dyDescent="0.3">
      <c r="A48" s="13" t="s">
        <v>187</v>
      </c>
      <c r="B48" s="13" t="s">
        <v>42</v>
      </c>
      <c r="C48" s="13" t="s">
        <v>19</v>
      </c>
      <c r="D48" s="13" t="s">
        <v>107</v>
      </c>
      <c r="E48" s="13" t="s">
        <v>71</v>
      </c>
      <c r="F48" s="13" t="s">
        <v>30</v>
      </c>
      <c r="G48" s="13" t="s">
        <v>100</v>
      </c>
      <c r="H48" s="13">
        <v>33</v>
      </c>
      <c r="I48" s="14">
        <v>38579</v>
      </c>
      <c r="J48" s="14">
        <v>1273107</v>
      </c>
      <c r="K48" s="14">
        <v>1018485.6</v>
      </c>
      <c r="L48" s="14">
        <v>254621.4</v>
      </c>
      <c r="M48" s="13" t="s">
        <v>24</v>
      </c>
      <c r="N48" s="13" t="s">
        <v>40</v>
      </c>
      <c r="O48" s="14">
        <v>1101292.17</v>
      </c>
      <c r="P48" s="15">
        <v>115.6</v>
      </c>
      <c r="Q48" s="15">
        <v>1.59</v>
      </c>
    </row>
    <row r="49" spans="1:17" x14ac:dyDescent="0.3">
      <c r="A49" s="16" t="s">
        <v>191</v>
      </c>
      <c r="B49" s="16" t="s">
        <v>42</v>
      </c>
      <c r="C49" s="16" t="s">
        <v>43</v>
      </c>
      <c r="D49" s="16" t="s">
        <v>57</v>
      </c>
      <c r="E49" s="16" t="s">
        <v>71</v>
      </c>
      <c r="F49" s="16" t="s">
        <v>30</v>
      </c>
      <c r="G49" s="16" t="s">
        <v>31</v>
      </c>
      <c r="H49" s="16">
        <v>43</v>
      </c>
      <c r="I49" s="17">
        <v>3256.95</v>
      </c>
      <c r="J49" s="17">
        <v>140048.85</v>
      </c>
      <c r="K49" s="17">
        <v>112039.08</v>
      </c>
      <c r="L49" s="17">
        <v>28009.77</v>
      </c>
      <c r="M49" s="16" t="s">
        <v>24</v>
      </c>
      <c r="N49" s="16" t="s">
        <v>40</v>
      </c>
      <c r="O49" s="17">
        <v>167671.65</v>
      </c>
      <c r="P49" s="18">
        <v>83.53</v>
      </c>
      <c r="Q49" s="18">
        <v>17.45</v>
      </c>
    </row>
    <row r="50" spans="1:17" x14ac:dyDescent="0.3">
      <c r="A50" s="13" t="s">
        <v>32</v>
      </c>
      <c r="B50" s="13" t="s">
        <v>33</v>
      </c>
      <c r="C50" s="13" t="s">
        <v>34</v>
      </c>
      <c r="D50" s="13" t="s">
        <v>35</v>
      </c>
      <c r="E50" s="13" t="s">
        <v>36</v>
      </c>
      <c r="F50" s="13" t="s">
        <v>37</v>
      </c>
      <c r="G50" s="13" t="s">
        <v>38</v>
      </c>
      <c r="H50" s="13">
        <v>50</v>
      </c>
      <c r="I50" s="14">
        <v>36610.69</v>
      </c>
      <c r="J50" s="14">
        <v>1830534.5</v>
      </c>
      <c r="K50" s="14">
        <v>1281374.1499999999</v>
      </c>
      <c r="L50" s="14">
        <v>549160.35</v>
      </c>
      <c r="M50" s="13" t="s">
        <v>39</v>
      </c>
      <c r="N50" s="13" t="s">
        <v>40</v>
      </c>
      <c r="O50" s="14">
        <v>1905205.47</v>
      </c>
      <c r="P50" s="15">
        <v>96.08</v>
      </c>
      <c r="Q50" s="15">
        <v>27.42</v>
      </c>
    </row>
    <row r="51" spans="1:17" x14ac:dyDescent="0.3">
      <c r="A51" s="16" t="s">
        <v>104</v>
      </c>
      <c r="B51" s="16" t="s">
        <v>33</v>
      </c>
      <c r="C51" s="16" t="s">
        <v>19</v>
      </c>
      <c r="D51" s="16" t="s">
        <v>20</v>
      </c>
      <c r="E51" s="16" t="s">
        <v>54</v>
      </c>
      <c r="F51" s="16" t="s">
        <v>22</v>
      </c>
      <c r="G51" s="16" t="s">
        <v>93</v>
      </c>
      <c r="H51" s="16">
        <v>28</v>
      </c>
      <c r="I51" s="17">
        <v>2778.22</v>
      </c>
      <c r="J51" s="17">
        <v>77790.16</v>
      </c>
      <c r="K51" s="17">
        <v>42784.59</v>
      </c>
      <c r="L51" s="17">
        <v>35005.57</v>
      </c>
      <c r="M51" s="16" t="s">
        <v>39</v>
      </c>
      <c r="N51" s="16" t="s">
        <v>40</v>
      </c>
      <c r="O51" s="17">
        <v>67022.55</v>
      </c>
      <c r="P51" s="18">
        <v>116.07</v>
      </c>
      <c r="Q51" s="18">
        <v>-2.7</v>
      </c>
    </row>
    <row r="52" spans="1:17" x14ac:dyDescent="0.3">
      <c r="A52" s="13" t="s">
        <v>119</v>
      </c>
      <c r="B52" s="13" t="s">
        <v>33</v>
      </c>
      <c r="C52" s="13" t="s">
        <v>49</v>
      </c>
      <c r="D52" s="13" t="s">
        <v>77</v>
      </c>
      <c r="E52" s="13" t="s">
        <v>36</v>
      </c>
      <c r="F52" s="13" t="s">
        <v>52</v>
      </c>
      <c r="G52" s="13" t="s">
        <v>82</v>
      </c>
      <c r="H52" s="13">
        <v>22</v>
      </c>
      <c r="I52" s="14">
        <v>132.82</v>
      </c>
      <c r="J52" s="14">
        <v>2922.04</v>
      </c>
      <c r="K52" s="14">
        <v>2571.4</v>
      </c>
      <c r="L52" s="14">
        <v>350.64</v>
      </c>
      <c r="M52" s="13" t="s">
        <v>24</v>
      </c>
      <c r="N52" s="13" t="s">
        <v>40</v>
      </c>
      <c r="O52" s="14">
        <v>3336.52</v>
      </c>
      <c r="P52" s="15">
        <v>87.58</v>
      </c>
      <c r="Q52" s="15">
        <v>-0.94</v>
      </c>
    </row>
    <row r="53" spans="1:17" x14ac:dyDescent="0.3">
      <c r="A53" s="16" t="s">
        <v>122</v>
      </c>
      <c r="B53" s="16" t="s">
        <v>33</v>
      </c>
      <c r="C53" s="16" t="s">
        <v>49</v>
      </c>
      <c r="D53" s="16" t="s">
        <v>102</v>
      </c>
      <c r="E53" s="16" t="s">
        <v>51</v>
      </c>
      <c r="F53" s="16" t="s">
        <v>58</v>
      </c>
      <c r="G53" s="16" t="s">
        <v>114</v>
      </c>
      <c r="H53" s="16">
        <v>21</v>
      </c>
      <c r="I53" s="17">
        <v>25007.279999999999</v>
      </c>
      <c r="J53" s="17">
        <v>525152.88</v>
      </c>
      <c r="K53" s="17">
        <v>430625.36</v>
      </c>
      <c r="L53" s="17">
        <v>94527.52</v>
      </c>
      <c r="M53" s="16" t="s">
        <v>39</v>
      </c>
      <c r="N53" s="16" t="s">
        <v>25</v>
      </c>
      <c r="O53" s="17">
        <v>638194.37</v>
      </c>
      <c r="P53" s="18">
        <v>82.29</v>
      </c>
      <c r="Q53" s="18">
        <v>10.52</v>
      </c>
    </row>
    <row r="54" spans="1:17" x14ac:dyDescent="0.3">
      <c r="A54" s="13" t="s">
        <v>142</v>
      </c>
      <c r="B54" s="13" t="s">
        <v>33</v>
      </c>
      <c r="C54" s="13" t="s">
        <v>43</v>
      </c>
      <c r="D54" s="13" t="s">
        <v>130</v>
      </c>
      <c r="E54" s="13" t="s">
        <v>134</v>
      </c>
      <c r="F54" s="13" t="s">
        <v>22</v>
      </c>
      <c r="G54" s="13" t="s">
        <v>72</v>
      </c>
      <c r="H54" s="13">
        <v>32</v>
      </c>
      <c r="I54" s="14">
        <v>3888.22</v>
      </c>
      <c r="J54" s="14">
        <v>124423.03999999999</v>
      </c>
      <c r="K54" s="14">
        <v>68432.67</v>
      </c>
      <c r="L54" s="14">
        <v>55990.37</v>
      </c>
      <c r="M54" s="13" t="s">
        <v>24</v>
      </c>
      <c r="N54" s="13" t="s">
        <v>25</v>
      </c>
      <c r="O54" s="14">
        <v>128395.91</v>
      </c>
      <c r="P54" s="15">
        <v>96.91</v>
      </c>
      <c r="Q54" s="15">
        <v>-0.85</v>
      </c>
    </row>
    <row r="55" spans="1:17" x14ac:dyDescent="0.3">
      <c r="A55" s="16" t="s">
        <v>145</v>
      </c>
      <c r="B55" s="16" t="s">
        <v>33</v>
      </c>
      <c r="C55" s="16" t="s">
        <v>19</v>
      </c>
      <c r="D55" s="16" t="s">
        <v>107</v>
      </c>
      <c r="E55" s="16" t="s">
        <v>29</v>
      </c>
      <c r="F55" s="16" t="s">
        <v>37</v>
      </c>
      <c r="G55" s="16" t="s">
        <v>97</v>
      </c>
      <c r="H55" s="16">
        <v>29</v>
      </c>
      <c r="I55" s="17">
        <v>11531.59</v>
      </c>
      <c r="J55" s="17">
        <v>334416.11</v>
      </c>
      <c r="K55" s="17">
        <v>234091.28</v>
      </c>
      <c r="L55" s="17">
        <v>100324.83</v>
      </c>
      <c r="M55" s="16" t="s">
        <v>24</v>
      </c>
      <c r="N55" s="16" t="s">
        <v>40</v>
      </c>
      <c r="O55" s="17">
        <v>329252.27</v>
      </c>
      <c r="P55" s="18">
        <v>101.57</v>
      </c>
      <c r="Q55" s="18">
        <v>7.24</v>
      </c>
    </row>
    <row r="56" spans="1:17" x14ac:dyDescent="0.3">
      <c r="A56" s="13" t="s">
        <v>145</v>
      </c>
      <c r="B56" s="13" t="s">
        <v>33</v>
      </c>
      <c r="C56" s="13" t="s">
        <v>43</v>
      </c>
      <c r="D56" s="13" t="s">
        <v>65</v>
      </c>
      <c r="E56" s="13" t="s">
        <v>66</v>
      </c>
      <c r="F56" s="13" t="s">
        <v>58</v>
      </c>
      <c r="G56" s="13" t="s">
        <v>89</v>
      </c>
      <c r="H56" s="13">
        <v>28</v>
      </c>
      <c r="I56" s="14">
        <v>31300.5</v>
      </c>
      <c r="J56" s="14">
        <v>876414</v>
      </c>
      <c r="K56" s="14">
        <v>718659.48</v>
      </c>
      <c r="L56" s="14">
        <v>157754.51999999999</v>
      </c>
      <c r="M56" s="13" t="s">
        <v>24</v>
      </c>
      <c r="N56" s="13" t="s">
        <v>40</v>
      </c>
      <c r="O56" s="14">
        <v>785327.72</v>
      </c>
      <c r="P56" s="15">
        <v>111.6</v>
      </c>
      <c r="Q56" s="15">
        <v>-14.06</v>
      </c>
    </row>
    <row r="57" spans="1:17" x14ac:dyDescent="0.3">
      <c r="A57" s="16" t="s">
        <v>152</v>
      </c>
      <c r="B57" s="16" t="s">
        <v>33</v>
      </c>
      <c r="C57" s="16" t="s">
        <v>34</v>
      </c>
      <c r="D57" s="16" t="s">
        <v>35</v>
      </c>
      <c r="E57" s="16" t="s">
        <v>54</v>
      </c>
      <c r="F57" s="16" t="s">
        <v>52</v>
      </c>
      <c r="G57" s="16" t="s">
        <v>82</v>
      </c>
      <c r="H57" s="16">
        <v>30</v>
      </c>
      <c r="I57" s="17">
        <v>118.49</v>
      </c>
      <c r="J57" s="17">
        <v>3554.7</v>
      </c>
      <c r="K57" s="17">
        <v>3128.14</v>
      </c>
      <c r="L57" s="17">
        <v>426.56</v>
      </c>
      <c r="M57" s="16" t="s">
        <v>39</v>
      </c>
      <c r="N57" s="16" t="s">
        <v>25</v>
      </c>
      <c r="O57" s="17">
        <v>3055.14</v>
      </c>
      <c r="P57" s="18">
        <v>116.35</v>
      </c>
      <c r="Q57" s="18">
        <v>-6.31</v>
      </c>
    </row>
    <row r="58" spans="1:17" x14ac:dyDescent="0.3">
      <c r="A58" s="13" t="s">
        <v>155</v>
      </c>
      <c r="B58" s="13" t="s">
        <v>33</v>
      </c>
      <c r="C58" s="13" t="s">
        <v>49</v>
      </c>
      <c r="D58" s="13" t="s">
        <v>102</v>
      </c>
      <c r="E58" s="13" t="s">
        <v>51</v>
      </c>
      <c r="F58" s="13" t="s">
        <v>58</v>
      </c>
      <c r="G58" s="13" t="s">
        <v>59</v>
      </c>
      <c r="H58" s="13">
        <v>34</v>
      </c>
      <c r="I58" s="14">
        <v>9051.15</v>
      </c>
      <c r="J58" s="14">
        <v>307739.09999999998</v>
      </c>
      <c r="K58" s="14">
        <v>252346.06</v>
      </c>
      <c r="L58" s="14">
        <v>55393.04</v>
      </c>
      <c r="M58" s="13" t="s">
        <v>39</v>
      </c>
      <c r="N58" s="13" t="s">
        <v>40</v>
      </c>
      <c r="O58" s="14">
        <v>314669.06</v>
      </c>
      <c r="P58" s="15">
        <v>97.8</v>
      </c>
      <c r="Q58" s="15">
        <v>27.7</v>
      </c>
    </row>
    <row r="59" spans="1:17" x14ac:dyDescent="0.3">
      <c r="A59" s="16" t="s">
        <v>198</v>
      </c>
      <c r="B59" s="16" t="s">
        <v>33</v>
      </c>
      <c r="C59" s="16" t="s">
        <v>34</v>
      </c>
      <c r="D59" s="16" t="s">
        <v>144</v>
      </c>
      <c r="E59" s="16" t="s">
        <v>71</v>
      </c>
      <c r="F59" s="16" t="s">
        <v>22</v>
      </c>
      <c r="G59" s="16" t="s">
        <v>93</v>
      </c>
      <c r="H59" s="16">
        <v>31</v>
      </c>
      <c r="I59" s="17">
        <v>2595.92</v>
      </c>
      <c r="J59" s="17">
        <v>80473.52</v>
      </c>
      <c r="K59" s="17">
        <v>44260.44</v>
      </c>
      <c r="L59" s="17">
        <v>36213.08</v>
      </c>
      <c r="M59" s="16" t="s">
        <v>24</v>
      </c>
      <c r="N59" s="16" t="s">
        <v>40</v>
      </c>
      <c r="O59" s="17">
        <v>100483.47</v>
      </c>
      <c r="P59" s="18">
        <v>80.09</v>
      </c>
      <c r="Q59" s="18">
        <v>9.77</v>
      </c>
    </row>
    <row r="60" spans="1:17" x14ac:dyDescent="0.3">
      <c r="A60" s="13" t="s">
        <v>73</v>
      </c>
      <c r="B60" s="13" t="s">
        <v>74</v>
      </c>
      <c r="C60" s="13" t="s">
        <v>49</v>
      </c>
      <c r="D60" s="13" t="s">
        <v>75</v>
      </c>
      <c r="E60" s="13" t="s">
        <v>29</v>
      </c>
      <c r="F60" s="13" t="s">
        <v>37</v>
      </c>
      <c r="G60" s="13" t="s">
        <v>38</v>
      </c>
      <c r="H60" s="13">
        <v>47</v>
      </c>
      <c r="I60" s="14">
        <v>36658.89</v>
      </c>
      <c r="J60" s="14">
        <v>1722967.83</v>
      </c>
      <c r="K60" s="14">
        <v>1206077.48</v>
      </c>
      <c r="L60" s="14">
        <v>516890.35</v>
      </c>
      <c r="M60" s="13" t="s">
        <v>24</v>
      </c>
      <c r="N60" s="13" t="s">
        <v>25</v>
      </c>
      <c r="O60" s="14">
        <v>2038359.41</v>
      </c>
      <c r="P60" s="15">
        <v>84.53</v>
      </c>
      <c r="Q60" s="15">
        <v>-1.67</v>
      </c>
    </row>
    <row r="61" spans="1:17" x14ac:dyDescent="0.3">
      <c r="A61" s="16" t="s">
        <v>85</v>
      </c>
      <c r="B61" s="16" t="s">
        <v>74</v>
      </c>
      <c r="C61" s="16" t="s">
        <v>49</v>
      </c>
      <c r="D61" s="16" t="s">
        <v>50</v>
      </c>
      <c r="E61" s="16" t="s">
        <v>21</v>
      </c>
      <c r="F61" s="16" t="s">
        <v>22</v>
      </c>
      <c r="G61" s="16" t="s">
        <v>86</v>
      </c>
      <c r="H61" s="16">
        <v>7</v>
      </c>
      <c r="I61" s="17">
        <v>2251.6999999999998</v>
      </c>
      <c r="J61" s="17">
        <v>15761.9</v>
      </c>
      <c r="K61" s="17">
        <v>8669.0499999999993</v>
      </c>
      <c r="L61" s="17">
        <v>7092.85</v>
      </c>
      <c r="M61" s="16" t="s">
        <v>39</v>
      </c>
      <c r="N61" s="16" t="s">
        <v>40</v>
      </c>
      <c r="O61" s="17">
        <v>18369.61</v>
      </c>
      <c r="P61" s="18">
        <v>85.8</v>
      </c>
      <c r="Q61" s="18">
        <v>-13.5</v>
      </c>
    </row>
    <row r="62" spans="1:17" x14ac:dyDescent="0.3">
      <c r="A62" s="13" t="s">
        <v>118</v>
      </c>
      <c r="B62" s="13" t="s">
        <v>74</v>
      </c>
      <c r="C62" s="13" t="s">
        <v>19</v>
      </c>
      <c r="D62" s="13" t="s">
        <v>20</v>
      </c>
      <c r="E62" s="13" t="s">
        <v>29</v>
      </c>
      <c r="F62" s="13" t="s">
        <v>52</v>
      </c>
      <c r="G62" s="13" t="s">
        <v>53</v>
      </c>
      <c r="H62" s="13">
        <v>35</v>
      </c>
      <c r="I62" s="14">
        <v>167.56</v>
      </c>
      <c r="J62" s="14">
        <v>5864.6</v>
      </c>
      <c r="K62" s="14">
        <v>5160.8500000000004</v>
      </c>
      <c r="L62" s="14">
        <v>703.75</v>
      </c>
      <c r="M62" s="13" t="s">
        <v>24</v>
      </c>
      <c r="N62" s="13" t="s">
        <v>40</v>
      </c>
      <c r="O62" s="14">
        <v>6356.19</v>
      </c>
      <c r="P62" s="15">
        <v>92.27</v>
      </c>
      <c r="Q62" s="15">
        <v>22.01</v>
      </c>
    </row>
    <row r="63" spans="1:17" x14ac:dyDescent="0.3">
      <c r="A63" s="16" t="s">
        <v>148</v>
      </c>
      <c r="B63" s="16" t="s">
        <v>74</v>
      </c>
      <c r="C63" s="16" t="s">
        <v>19</v>
      </c>
      <c r="D63" s="16" t="s">
        <v>20</v>
      </c>
      <c r="E63" s="16" t="s">
        <v>36</v>
      </c>
      <c r="F63" s="16" t="s">
        <v>58</v>
      </c>
      <c r="G63" s="16" t="s">
        <v>116</v>
      </c>
      <c r="H63" s="16">
        <v>23</v>
      </c>
      <c r="I63" s="17">
        <v>4869.6099999999997</v>
      </c>
      <c r="J63" s="17">
        <v>112001.03</v>
      </c>
      <c r="K63" s="17">
        <v>91840.84</v>
      </c>
      <c r="L63" s="17">
        <v>20160.189999999999</v>
      </c>
      <c r="M63" s="16" t="s">
        <v>24</v>
      </c>
      <c r="N63" s="16" t="s">
        <v>40</v>
      </c>
      <c r="O63" s="17">
        <v>122359.28</v>
      </c>
      <c r="P63" s="18">
        <v>91.53</v>
      </c>
      <c r="Q63" s="18">
        <v>8.01</v>
      </c>
    </row>
    <row r="64" spans="1:17" x14ac:dyDescent="0.3">
      <c r="A64" s="13" t="s">
        <v>166</v>
      </c>
      <c r="B64" s="13" t="s">
        <v>74</v>
      </c>
      <c r="C64" s="13" t="s">
        <v>49</v>
      </c>
      <c r="D64" s="13" t="s">
        <v>50</v>
      </c>
      <c r="E64" s="13" t="s">
        <v>96</v>
      </c>
      <c r="F64" s="13" t="s">
        <v>52</v>
      </c>
      <c r="G64" s="13" t="s">
        <v>55</v>
      </c>
      <c r="H64" s="13">
        <v>28</v>
      </c>
      <c r="I64" s="14">
        <v>388.89</v>
      </c>
      <c r="J64" s="14">
        <v>10888.92</v>
      </c>
      <c r="K64" s="14">
        <v>9582.25</v>
      </c>
      <c r="L64" s="14">
        <v>1306.67</v>
      </c>
      <c r="M64" s="13" t="s">
        <v>39</v>
      </c>
      <c r="N64" s="13" t="s">
        <v>40</v>
      </c>
      <c r="O64" s="14">
        <v>11820.45</v>
      </c>
      <c r="P64" s="15">
        <v>92.12</v>
      </c>
      <c r="Q64" s="15">
        <v>8.58</v>
      </c>
    </row>
    <row r="65" spans="1:17" x14ac:dyDescent="0.3">
      <c r="A65" s="16" t="s">
        <v>169</v>
      </c>
      <c r="B65" s="16" t="s">
        <v>74</v>
      </c>
      <c r="C65" s="16" t="s">
        <v>19</v>
      </c>
      <c r="D65" s="16" t="s">
        <v>28</v>
      </c>
      <c r="E65" s="16" t="s">
        <v>96</v>
      </c>
      <c r="F65" s="16" t="s">
        <v>22</v>
      </c>
      <c r="G65" s="16" t="s">
        <v>23</v>
      </c>
      <c r="H65" s="16">
        <v>30</v>
      </c>
      <c r="I65" s="17">
        <v>3992.53</v>
      </c>
      <c r="J65" s="17">
        <v>119775.9</v>
      </c>
      <c r="K65" s="17">
        <v>65876.740000000005</v>
      </c>
      <c r="L65" s="17">
        <v>53899.16</v>
      </c>
      <c r="M65" s="16" t="s">
        <v>39</v>
      </c>
      <c r="N65" s="16" t="s">
        <v>25</v>
      </c>
      <c r="O65" s="17">
        <v>143019.16</v>
      </c>
      <c r="P65" s="18">
        <v>83.75</v>
      </c>
      <c r="Q65" s="18">
        <v>17.59</v>
      </c>
    </row>
    <row r="66" spans="1:17" x14ac:dyDescent="0.3">
      <c r="A66" s="13" t="s">
        <v>181</v>
      </c>
      <c r="B66" s="13" t="s">
        <v>74</v>
      </c>
      <c r="C66" s="13" t="s">
        <v>43</v>
      </c>
      <c r="D66" s="13" t="s">
        <v>150</v>
      </c>
      <c r="E66" s="13" t="s">
        <v>96</v>
      </c>
      <c r="F66" s="13" t="s">
        <v>30</v>
      </c>
      <c r="G66" s="13" t="s">
        <v>100</v>
      </c>
      <c r="H66" s="13">
        <v>49</v>
      </c>
      <c r="I66" s="14">
        <v>46711.31</v>
      </c>
      <c r="J66" s="14">
        <v>2288854.19</v>
      </c>
      <c r="K66" s="14">
        <v>1831083.35</v>
      </c>
      <c r="L66" s="14">
        <v>457770.84</v>
      </c>
      <c r="M66" s="13" t="s">
        <v>39</v>
      </c>
      <c r="N66" s="13" t="s">
        <v>40</v>
      </c>
      <c r="O66" s="14">
        <v>2390150.75</v>
      </c>
      <c r="P66" s="15">
        <v>95.76</v>
      </c>
      <c r="Q66" s="15">
        <v>-5.38</v>
      </c>
    </row>
    <row r="67" spans="1:17" x14ac:dyDescent="0.3">
      <c r="A67" s="16" t="s">
        <v>68</v>
      </c>
      <c r="B67" s="16" t="s">
        <v>69</v>
      </c>
      <c r="C67" s="16" t="s">
        <v>49</v>
      </c>
      <c r="D67" s="16" t="s">
        <v>70</v>
      </c>
      <c r="E67" s="16" t="s">
        <v>71</v>
      </c>
      <c r="F67" s="16" t="s">
        <v>22</v>
      </c>
      <c r="G67" s="16" t="s">
        <v>72</v>
      </c>
      <c r="H67" s="16">
        <v>14</v>
      </c>
      <c r="I67" s="17">
        <v>4054.7</v>
      </c>
      <c r="J67" s="17">
        <v>56765.8</v>
      </c>
      <c r="K67" s="17">
        <v>31221.19</v>
      </c>
      <c r="L67" s="17">
        <v>25544.61</v>
      </c>
      <c r="M67" s="16" t="s">
        <v>24</v>
      </c>
      <c r="N67" s="16" t="s">
        <v>40</v>
      </c>
      <c r="O67" s="17">
        <v>54569.11</v>
      </c>
      <c r="P67" s="18">
        <v>104.03</v>
      </c>
      <c r="Q67" s="18">
        <v>27.8</v>
      </c>
    </row>
    <row r="68" spans="1:17" x14ac:dyDescent="0.3">
      <c r="A68" s="13" t="s">
        <v>83</v>
      </c>
      <c r="B68" s="13" t="s">
        <v>69</v>
      </c>
      <c r="C68" s="13" t="s">
        <v>43</v>
      </c>
      <c r="D68" s="13" t="s">
        <v>57</v>
      </c>
      <c r="E68" s="13" t="s">
        <v>36</v>
      </c>
      <c r="F68" s="13" t="s">
        <v>37</v>
      </c>
      <c r="G68" s="13" t="s">
        <v>84</v>
      </c>
      <c r="H68" s="13">
        <v>15</v>
      </c>
      <c r="I68" s="14">
        <v>22270.65</v>
      </c>
      <c r="J68" s="14">
        <v>334059.75</v>
      </c>
      <c r="K68" s="14">
        <v>233841.82</v>
      </c>
      <c r="L68" s="14">
        <v>100217.93</v>
      </c>
      <c r="M68" s="13" t="s">
        <v>24</v>
      </c>
      <c r="N68" s="13" t="s">
        <v>25</v>
      </c>
      <c r="O68" s="14">
        <v>385345.59</v>
      </c>
      <c r="P68" s="15">
        <v>86.69</v>
      </c>
      <c r="Q68" s="15">
        <v>-7.82</v>
      </c>
    </row>
    <row r="69" spans="1:17" x14ac:dyDescent="0.3">
      <c r="A69" s="16" t="s">
        <v>90</v>
      </c>
      <c r="B69" s="16" t="s">
        <v>69</v>
      </c>
      <c r="C69" s="16" t="s">
        <v>43</v>
      </c>
      <c r="D69" s="16" t="s">
        <v>65</v>
      </c>
      <c r="E69" s="16" t="s">
        <v>51</v>
      </c>
      <c r="F69" s="16" t="s">
        <v>22</v>
      </c>
      <c r="G69" s="16" t="s">
        <v>91</v>
      </c>
      <c r="H69" s="16">
        <v>22</v>
      </c>
      <c r="I69" s="17">
        <v>1311.34</v>
      </c>
      <c r="J69" s="17">
        <v>28849.48</v>
      </c>
      <c r="K69" s="17">
        <v>15867.21</v>
      </c>
      <c r="L69" s="17">
        <v>12982.27</v>
      </c>
      <c r="M69" s="16" t="s">
        <v>24</v>
      </c>
      <c r="N69" s="16" t="s">
        <v>25</v>
      </c>
      <c r="O69" s="17">
        <v>33075.71</v>
      </c>
      <c r="P69" s="18">
        <v>87.22</v>
      </c>
      <c r="Q69" s="18">
        <v>9.83</v>
      </c>
    </row>
    <row r="70" spans="1:17" x14ac:dyDescent="0.3">
      <c r="A70" s="13" t="s">
        <v>126</v>
      </c>
      <c r="B70" s="13" t="s">
        <v>69</v>
      </c>
      <c r="C70" s="13" t="s">
        <v>49</v>
      </c>
      <c r="D70" s="13" t="s">
        <v>77</v>
      </c>
      <c r="E70" s="13" t="s">
        <v>45</v>
      </c>
      <c r="F70" s="13" t="s">
        <v>30</v>
      </c>
      <c r="G70" s="13" t="s">
        <v>67</v>
      </c>
      <c r="H70" s="13">
        <v>36</v>
      </c>
      <c r="I70" s="14">
        <v>35466.83</v>
      </c>
      <c r="J70" s="14">
        <v>1276805.8799999999</v>
      </c>
      <c r="K70" s="14">
        <v>1021444.7</v>
      </c>
      <c r="L70" s="14">
        <v>255361.18</v>
      </c>
      <c r="M70" s="13" t="s">
        <v>24</v>
      </c>
      <c r="N70" s="13" t="s">
        <v>25</v>
      </c>
      <c r="O70" s="14">
        <v>1288078.1200000001</v>
      </c>
      <c r="P70" s="15">
        <v>99.12</v>
      </c>
      <c r="Q70" s="15">
        <v>18.39</v>
      </c>
    </row>
    <row r="71" spans="1:17" x14ac:dyDescent="0.3">
      <c r="A71" s="16" t="s">
        <v>138</v>
      </c>
      <c r="B71" s="16" t="s">
        <v>69</v>
      </c>
      <c r="C71" s="16" t="s">
        <v>49</v>
      </c>
      <c r="D71" s="16" t="s">
        <v>75</v>
      </c>
      <c r="E71" s="16" t="s">
        <v>125</v>
      </c>
      <c r="F71" s="16" t="s">
        <v>37</v>
      </c>
      <c r="G71" s="16" t="s">
        <v>84</v>
      </c>
      <c r="H71" s="16">
        <v>9</v>
      </c>
      <c r="I71" s="17">
        <v>22120.35</v>
      </c>
      <c r="J71" s="17">
        <v>199083.15</v>
      </c>
      <c r="K71" s="17">
        <v>139358.20000000001</v>
      </c>
      <c r="L71" s="17">
        <v>59724.95</v>
      </c>
      <c r="M71" s="16" t="s">
        <v>24</v>
      </c>
      <c r="N71" s="16" t="s">
        <v>40</v>
      </c>
      <c r="O71" s="17">
        <v>189113.58</v>
      </c>
      <c r="P71" s="18">
        <v>105.27</v>
      </c>
      <c r="Q71" s="18">
        <v>26.55</v>
      </c>
    </row>
    <row r="72" spans="1:17" x14ac:dyDescent="0.3">
      <c r="A72" s="13" t="s">
        <v>138</v>
      </c>
      <c r="B72" s="13" t="s">
        <v>69</v>
      </c>
      <c r="C72" s="13" t="s">
        <v>34</v>
      </c>
      <c r="D72" s="13" t="s">
        <v>139</v>
      </c>
      <c r="E72" s="13" t="s">
        <v>21</v>
      </c>
      <c r="F72" s="13" t="s">
        <v>30</v>
      </c>
      <c r="G72" s="13" t="s">
        <v>140</v>
      </c>
      <c r="H72" s="13">
        <v>37</v>
      </c>
      <c r="I72" s="14">
        <v>9546.73</v>
      </c>
      <c r="J72" s="14">
        <v>353229.01</v>
      </c>
      <c r="K72" s="14">
        <v>282583.21000000002</v>
      </c>
      <c r="L72" s="14">
        <v>70645.8</v>
      </c>
      <c r="M72" s="13" t="s">
        <v>24</v>
      </c>
      <c r="N72" s="13" t="s">
        <v>40</v>
      </c>
      <c r="O72" s="14">
        <v>321573.67</v>
      </c>
      <c r="P72" s="15">
        <v>109.84</v>
      </c>
      <c r="Q72" s="15">
        <v>-11.93</v>
      </c>
    </row>
    <row r="73" spans="1:17" x14ac:dyDescent="0.3">
      <c r="A73" s="16" t="s">
        <v>138</v>
      </c>
      <c r="B73" s="16" t="s">
        <v>69</v>
      </c>
      <c r="C73" s="16" t="s">
        <v>34</v>
      </c>
      <c r="D73" s="16" t="s">
        <v>61</v>
      </c>
      <c r="E73" s="16" t="s">
        <v>21</v>
      </c>
      <c r="F73" s="16" t="s">
        <v>52</v>
      </c>
      <c r="G73" s="16" t="s">
        <v>55</v>
      </c>
      <c r="H73" s="16">
        <v>1</v>
      </c>
      <c r="I73" s="17">
        <v>393.65</v>
      </c>
      <c r="J73" s="17">
        <v>393.65</v>
      </c>
      <c r="K73" s="17">
        <v>346.41</v>
      </c>
      <c r="L73" s="17">
        <v>47.24</v>
      </c>
      <c r="M73" s="16" t="s">
        <v>24</v>
      </c>
      <c r="N73" s="16" t="s">
        <v>40</v>
      </c>
      <c r="O73" s="17">
        <v>441.3</v>
      </c>
      <c r="P73" s="18">
        <v>89.2</v>
      </c>
      <c r="Q73" s="18">
        <v>-7.89</v>
      </c>
    </row>
    <row r="74" spans="1:17" x14ac:dyDescent="0.3">
      <c r="A74" s="13" t="s">
        <v>159</v>
      </c>
      <c r="B74" s="13" t="s">
        <v>69</v>
      </c>
      <c r="C74" s="13" t="s">
        <v>34</v>
      </c>
      <c r="D74" s="13" t="s">
        <v>139</v>
      </c>
      <c r="E74" s="13" t="s">
        <v>51</v>
      </c>
      <c r="F74" s="13" t="s">
        <v>22</v>
      </c>
      <c r="G74" s="13" t="s">
        <v>93</v>
      </c>
      <c r="H74" s="13">
        <v>44</v>
      </c>
      <c r="I74" s="14">
        <v>2700.45</v>
      </c>
      <c r="J74" s="14">
        <v>118819.8</v>
      </c>
      <c r="K74" s="14">
        <v>65350.89</v>
      </c>
      <c r="L74" s="14">
        <v>53468.91</v>
      </c>
      <c r="M74" s="13" t="s">
        <v>24</v>
      </c>
      <c r="N74" s="13" t="s">
        <v>40</v>
      </c>
      <c r="O74" s="14">
        <v>106298.67</v>
      </c>
      <c r="P74" s="15">
        <v>111.78</v>
      </c>
      <c r="Q74" s="15">
        <v>4.5599999999999996</v>
      </c>
    </row>
    <row r="75" spans="1:17" x14ac:dyDescent="0.3">
      <c r="A75" s="16" t="s">
        <v>176</v>
      </c>
      <c r="B75" s="16" t="s">
        <v>69</v>
      </c>
      <c r="C75" s="16" t="s">
        <v>34</v>
      </c>
      <c r="D75" s="16" t="s">
        <v>144</v>
      </c>
      <c r="E75" s="16" t="s">
        <v>66</v>
      </c>
      <c r="F75" s="16" t="s">
        <v>52</v>
      </c>
      <c r="G75" s="16" t="s">
        <v>82</v>
      </c>
      <c r="H75" s="16">
        <v>35</v>
      </c>
      <c r="I75" s="17">
        <v>108.81</v>
      </c>
      <c r="J75" s="17">
        <v>3808.35</v>
      </c>
      <c r="K75" s="17">
        <v>3351.35</v>
      </c>
      <c r="L75" s="17">
        <v>457</v>
      </c>
      <c r="M75" s="16" t="s">
        <v>24</v>
      </c>
      <c r="N75" s="16" t="s">
        <v>25</v>
      </c>
      <c r="O75" s="17">
        <v>3364.98</v>
      </c>
      <c r="P75" s="18">
        <v>113.18</v>
      </c>
      <c r="Q75" s="18">
        <v>4.29</v>
      </c>
    </row>
    <row r="76" spans="1:17" x14ac:dyDescent="0.3">
      <c r="A76" s="13" t="s">
        <v>186</v>
      </c>
      <c r="B76" s="13" t="s">
        <v>69</v>
      </c>
      <c r="C76" s="13" t="s">
        <v>43</v>
      </c>
      <c r="D76" s="13" t="s">
        <v>130</v>
      </c>
      <c r="E76" s="13" t="s">
        <v>36</v>
      </c>
      <c r="F76" s="13" t="s">
        <v>37</v>
      </c>
      <c r="G76" s="13" t="s">
        <v>46</v>
      </c>
      <c r="H76" s="13">
        <v>45</v>
      </c>
      <c r="I76" s="14">
        <v>16887.62</v>
      </c>
      <c r="J76" s="14">
        <v>759942.9</v>
      </c>
      <c r="K76" s="14">
        <v>531960.03</v>
      </c>
      <c r="L76" s="14">
        <v>227982.87</v>
      </c>
      <c r="M76" s="13" t="s">
        <v>39</v>
      </c>
      <c r="N76" s="13" t="s">
        <v>25</v>
      </c>
      <c r="O76" s="14">
        <v>772061.83</v>
      </c>
      <c r="P76" s="15">
        <v>98.43</v>
      </c>
      <c r="Q76" s="15">
        <v>-0.11</v>
      </c>
    </row>
    <row r="77" spans="1:17" x14ac:dyDescent="0.3">
      <c r="A77" s="16" t="s">
        <v>63</v>
      </c>
      <c r="B77" s="16" t="s">
        <v>64</v>
      </c>
      <c r="C77" s="16" t="s">
        <v>43</v>
      </c>
      <c r="D77" s="16" t="s">
        <v>65</v>
      </c>
      <c r="E77" s="16" t="s">
        <v>66</v>
      </c>
      <c r="F77" s="16" t="s">
        <v>30</v>
      </c>
      <c r="G77" s="16" t="s">
        <v>67</v>
      </c>
      <c r="H77" s="16">
        <v>3</v>
      </c>
      <c r="I77" s="17">
        <v>34617.94</v>
      </c>
      <c r="J77" s="17">
        <v>103853.82</v>
      </c>
      <c r="K77" s="17">
        <v>83083.06</v>
      </c>
      <c r="L77" s="17">
        <v>20770.759999999998</v>
      </c>
      <c r="M77" s="16" t="s">
        <v>24</v>
      </c>
      <c r="N77" s="16" t="s">
        <v>40</v>
      </c>
      <c r="O77" s="17">
        <v>115001.1</v>
      </c>
      <c r="P77" s="18">
        <v>90.31</v>
      </c>
      <c r="Q77" s="18">
        <v>-13.6</v>
      </c>
    </row>
    <row r="78" spans="1:17" x14ac:dyDescent="0.3">
      <c r="A78" s="13" t="s">
        <v>109</v>
      </c>
      <c r="B78" s="13" t="s">
        <v>64</v>
      </c>
      <c r="C78" s="13" t="s">
        <v>43</v>
      </c>
      <c r="D78" s="13" t="s">
        <v>57</v>
      </c>
      <c r="E78" s="13" t="s">
        <v>45</v>
      </c>
      <c r="F78" s="13" t="s">
        <v>58</v>
      </c>
      <c r="G78" s="13" t="s">
        <v>89</v>
      </c>
      <c r="H78" s="13">
        <v>28</v>
      </c>
      <c r="I78" s="14">
        <v>31961.41</v>
      </c>
      <c r="J78" s="14">
        <v>894919.48</v>
      </c>
      <c r="K78" s="14">
        <v>733833.97</v>
      </c>
      <c r="L78" s="14">
        <v>161085.51</v>
      </c>
      <c r="M78" s="13" t="s">
        <v>39</v>
      </c>
      <c r="N78" s="13" t="s">
        <v>40</v>
      </c>
      <c r="O78" s="14">
        <v>765210.62</v>
      </c>
      <c r="P78" s="15">
        <v>116.95</v>
      </c>
      <c r="Q78" s="15">
        <v>3.9</v>
      </c>
    </row>
    <row r="79" spans="1:17" x14ac:dyDescent="0.3">
      <c r="A79" s="16" t="s">
        <v>115</v>
      </c>
      <c r="B79" s="16" t="s">
        <v>64</v>
      </c>
      <c r="C79" s="16" t="s">
        <v>49</v>
      </c>
      <c r="D79" s="16" t="s">
        <v>102</v>
      </c>
      <c r="E79" s="16" t="s">
        <v>99</v>
      </c>
      <c r="F79" s="16" t="s">
        <v>58</v>
      </c>
      <c r="G79" s="16" t="s">
        <v>116</v>
      </c>
      <c r="H79" s="16">
        <v>18</v>
      </c>
      <c r="I79" s="17">
        <v>4101.21</v>
      </c>
      <c r="J79" s="17">
        <v>73821.78</v>
      </c>
      <c r="K79" s="17">
        <v>60533.86</v>
      </c>
      <c r="L79" s="17">
        <v>13287.92</v>
      </c>
      <c r="M79" s="16" t="s">
        <v>39</v>
      </c>
      <c r="N79" s="16" t="s">
        <v>40</v>
      </c>
      <c r="O79" s="17">
        <v>83342.350000000006</v>
      </c>
      <c r="P79" s="18">
        <v>88.58</v>
      </c>
      <c r="Q79" s="18">
        <v>-9.32</v>
      </c>
    </row>
    <row r="80" spans="1:17" x14ac:dyDescent="0.3">
      <c r="A80" s="13" t="s">
        <v>120</v>
      </c>
      <c r="B80" s="13" t="s">
        <v>64</v>
      </c>
      <c r="C80" s="13" t="s">
        <v>49</v>
      </c>
      <c r="D80" s="13" t="s">
        <v>75</v>
      </c>
      <c r="E80" s="13" t="s">
        <v>29</v>
      </c>
      <c r="F80" s="13" t="s">
        <v>58</v>
      </c>
      <c r="G80" s="13" t="s">
        <v>114</v>
      </c>
      <c r="H80" s="13">
        <v>13</v>
      </c>
      <c r="I80" s="14">
        <v>23584.37</v>
      </c>
      <c r="J80" s="14">
        <v>306596.81</v>
      </c>
      <c r="K80" s="14">
        <v>251409.38</v>
      </c>
      <c r="L80" s="14">
        <v>55187.43</v>
      </c>
      <c r="M80" s="13" t="s">
        <v>39</v>
      </c>
      <c r="N80" s="13" t="s">
        <v>25</v>
      </c>
      <c r="O80" s="14">
        <v>282332.26</v>
      </c>
      <c r="P80" s="15">
        <v>108.59</v>
      </c>
      <c r="Q80" s="15">
        <v>19.78</v>
      </c>
    </row>
    <row r="81" spans="1:17" x14ac:dyDescent="0.3">
      <c r="A81" s="16" t="s">
        <v>135</v>
      </c>
      <c r="B81" s="16" t="s">
        <v>64</v>
      </c>
      <c r="C81" s="16" t="s">
        <v>43</v>
      </c>
      <c r="D81" s="16" t="s">
        <v>65</v>
      </c>
      <c r="E81" s="16" t="s">
        <v>21</v>
      </c>
      <c r="F81" s="16" t="s">
        <v>30</v>
      </c>
      <c r="G81" s="16" t="s">
        <v>100</v>
      </c>
      <c r="H81" s="16">
        <v>35</v>
      </c>
      <c r="I81" s="17">
        <v>42650.75</v>
      </c>
      <c r="J81" s="17">
        <v>1492776.25</v>
      </c>
      <c r="K81" s="17">
        <v>1194221</v>
      </c>
      <c r="L81" s="17">
        <v>298555.25</v>
      </c>
      <c r="M81" s="16" t="s">
        <v>39</v>
      </c>
      <c r="N81" s="16" t="s">
        <v>25</v>
      </c>
      <c r="O81" s="17">
        <v>1578425.42</v>
      </c>
      <c r="P81" s="18">
        <v>94.57</v>
      </c>
      <c r="Q81" s="18">
        <v>13.02</v>
      </c>
    </row>
    <row r="82" spans="1:17" x14ac:dyDescent="0.3">
      <c r="A82" s="13" t="s">
        <v>143</v>
      </c>
      <c r="B82" s="13" t="s">
        <v>64</v>
      </c>
      <c r="C82" s="13" t="s">
        <v>34</v>
      </c>
      <c r="D82" s="13" t="s">
        <v>144</v>
      </c>
      <c r="E82" s="13" t="s">
        <v>54</v>
      </c>
      <c r="F82" s="13" t="s">
        <v>37</v>
      </c>
      <c r="G82" s="13" t="s">
        <v>78</v>
      </c>
      <c r="H82" s="13">
        <v>4</v>
      </c>
      <c r="I82" s="14">
        <v>6268.77</v>
      </c>
      <c r="J82" s="14">
        <v>25075.08</v>
      </c>
      <c r="K82" s="14">
        <v>17552.560000000001</v>
      </c>
      <c r="L82" s="14">
        <v>7522.52</v>
      </c>
      <c r="M82" s="13" t="s">
        <v>39</v>
      </c>
      <c r="N82" s="13" t="s">
        <v>40</v>
      </c>
      <c r="O82" s="14">
        <v>21887.19</v>
      </c>
      <c r="P82" s="15">
        <v>114.57</v>
      </c>
      <c r="Q82" s="15">
        <v>11.29</v>
      </c>
    </row>
    <row r="83" spans="1:17" x14ac:dyDescent="0.3">
      <c r="A83" s="16" t="s">
        <v>158</v>
      </c>
      <c r="B83" s="16" t="s">
        <v>64</v>
      </c>
      <c r="C83" s="16" t="s">
        <v>19</v>
      </c>
      <c r="D83" s="16" t="s">
        <v>20</v>
      </c>
      <c r="E83" s="16" t="s">
        <v>51</v>
      </c>
      <c r="F83" s="16" t="s">
        <v>37</v>
      </c>
      <c r="G83" s="16" t="s">
        <v>78</v>
      </c>
      <c r="H83" s="16">
        <v>9</v>
      </c>
      <c r="I83" s="17">
        <v>6512.58</v>
      </c>
      <c r="J83" s="17">
        <v>58613.22</v>
      </c>
      <c r="K83" s="17">
        <v>41029.25</v>
      </c>
      <c r="L83" s="17">
        <v>17583.97</v>
      </c>
      <c r="M83" s="16" t="s">
        <v>39</v>
      </c>
      <c r="N83" s="16" t="s">
        <v>25</v>
      </c>
      <c r="O83" s="17">
        <v>60986.96</v>
      </c>
      <c r="P83" s="18">
        <v>96.11</v>
      </c>
      <c r="Q83" s="18">
        <v>20.010000000000002</v>
      </c>
    </row>
    <row r="84" spans="1:17" x14ac:dyDescent="0.3">
      <c r="A84" s="13" t="s">
        <v>171</v>
      </c>
      <c r="B84" s="13" t="s">
        <v>64</v>
      </c>
      <c r="C84" s="13" t="s">
        <v>43</v>
      </c>
      <c r="D84" s="13" t="s">
        <v>130</v>
      </c>
      <c r="E84" s="13" t="s">
        <v>51</v>
      </c>
      <c r="F84" s="13" t="s">
        <v>30</v>
      </c>
      <c r="G84" s="13" t="s">
        <v>31</v>
      </c>
      <c r="H84" s="13">
        <v>49</v>
      </c>
      <c r="I84" s="14">
        <v>3738.25</v>
      </c>
      <c r="J84" s="14">
        <v>183174.25</v>
      </c>
      <c r="K84" s="14">
        <v>146539.4</v>
      </c>
      <c r="L84" s="14">
        <v>36634.85</v>
      </c>
      <c r="M84" s="13" t="s">
        <v>24</v>
      </c>
      <c r="N84" s="13" t="s">
        <v>25</v>
      </c>
      <c r="O84" s="14">
        <v>211610.88</v>
      </c>
      <c r="P84" s="15">
        <v>86.56</v>
      </c>
      <c r="Q84" s="15">
        <v>-7.12</v>
      </c>
    </row>
    <row r="85" spans="1:17" x14ac:dyDescent="0.3">
      <c r="A85" s="16" t="s">
        <v>195</v>
      </c>
      <c r="B85" s="16" t="s">
        <v>64</v>
      </c>
      <c r="C85" s="16" t="s">
        <v>34</v>
      </c>
      <c r="D85" s="16" t="s">
        <v>144</v>
      </c>
      <c r="E85" s="16" t="s">
        <v>125</v>
      </c>
      <c r="F85" s="16" t="s">
        <v>37</v>
      </c>
      <c r="G85" s="16" t="s">
        <v>84</v>
      </c>
      <c r="H85" s="16">
        <v>4</v>
      </c>
      <c r="I85" s="17">
        <v>22865.73</v>
      </c>
      <c r="J85" s="17">
        <v>91462.92</v>
      </c>
      <c r="K85" s="17">
        <v>64024.04</v>
      </c>
      <c r="L85" s="17">
        <v>27438.880000000001</v>
      </c>
      <c r="M85" s="16" t="s">
        <v>39</v>
      </c>
      <c r="N85" s="16" t="s">
        <v>40</v>
      </c>
      <c r="O85" s="17">
        <v>82621.72</v>
      </c>
      <c r="P85" s="18">
        <v>110.7</v>
      </c>
      <c r="Q85" s="18">
        <v>5.91</v>
      </c>
    </row>
    <row r="86" spans="1:17" x14ac:dyDescent="0.3">
      <c r="A86" s="13" t="s">
        <v>202</v>
      </c>
      <c r="B86" s="13" t="s">
        <v>64</v>
      </c>
      <c r="C86" s="13" t="s">
        <v>49</v>
      </c>
      <c r="D86" s="13" t="s">
        <v>77</v>
      </c>
      <c r="E86" s="13" t="s">
        <v>125</v>
      </c>
      <c r="F86" s="13" t="s">
        <v>37</v>
      </c>
      <c r="G86" s="13" t="s">
        <v>97</v>
      </c>
      <c r="H86" s="13">
        <v>17</v>
      </c>
      <c r="I86" s="14">
        <v>11815.68</v>
      </c>
      <c r="J86" s="14">
        <v>200866.56</v>
      </c>
      <c r="K86" s="14">
        <v>140606.59</v>
      </c>
      <c r="L86" s="14">
        <v>60259.97</v>
      </c>
      <c r="M86" s="13" t="s">
        <v>24</v>
      </c>
      <c r="N86" s="13" t="s">
        <v>25</v>
      </c>
      <c r="O86" s="14">
        <v>239173.04</v>
      </c>
      <c r="P86" s="15">
        <v>83.98</v>
      </c>
      <c r="Q86" s="15">
        <v>23.36</v>
      </c>
    </row>
    <row r="87" spans="1:17" x14ac:dyDescent="0.3">
      <c r="A87" s="16" t="s">
        <v>79</v>
      </c>
      <c r="B87" s="16" t="s">
        <v>80</v>
      </c>
      <c r="C87" s="16" t="s">
        <v>43</v>
      </c>
      <c r="D87" s="16" t="s">
        <v>44</v>
      </c>
      <c r="E87" s="16" t="s">
        <v>45</v>
      </c>
      <c r="F87" s="16" t="s">
        <v>30</v>
      </c>
      <c r="G87" s="16" t="s">
        <v>67</v>
      </c>
      <c r="H87" s="16">
        <v>7</v>
      </c>
      <c r="I87" s="17">
        <v>35764.15</v>
      </c>
      <c r="J87" s="17">
        <v>250349.05</v>
      </c>
      <c r="K87" s="17">
        <v>200279.24</v>
      </c>
      <c r="L87" s="17">
        <v>50069.81</v>
      </c>
      <c r="M87" s="16" t="s">
        <v>24</v>
      </c>
      <c r="N87" s="16" t="s">
        <v>25</v>
      </c>
      <c r="O87" s="17">
        <v>228101.96</v>
      </c>
      <c r="P87" s="18">
        <v>109.75</v>
      </c>
      <c r="Q87" s="18">
        <v>19.309999999999999</v>
      </c>
    </row>
    <row r="88" spans="1:17" x14ac:dyDescent="0.3">
      <c r="A88" s="13" t="s">
        <v>79</v>
      </c>
      <c r="B88" s="13" t="s">
        <v>80</v>
      </c>
      <c r="C88" s="13" t="s">
        <v>19</v>
      </c>
      <c r="D88" s="13" t="s">
        <v>81</v>
      </c>
      <c r="E88" s="13" t="s">
        <v>29</v>
      </c>
      <c r="F88" s="13" t="s">
        <v>52</v>
      </c>
      <c r="G88" s="13" t="s">
        <v>82</v>
      </c>
      <c r="H88" s="13">
        <v>29</v>
      </c>
      <c r="I88" s="14">
        <v>110.32</v>
      </c>
      <c r="J88" s="14">
        <v>3199.28</v>
      </c>
      <c r="K88" s="14">
        <v>2815.37</v>
      </c>
      <c r="L88" s="14">
        <v>383.91</v>
      </c>
      <c r="M88" s="13" t="s">
        <v>24</v>
      </c>
      <c r="N88" s="13" t="s">
        <v>25</v>
      </c>
      <c r="O88" s="14">
        <v>3067.11</v>
      </c>
      <c r="P88" s="15">
        <v>104.31</v>
      </c>
      <c r="Q88" s="15">
        <v>-0.61</v>
      </c>
    </row>
    <row r="89" spans="1:17" x14ac:dyDescent="0.3">
      <c r="A89" s="16" t="s">
        <v>88</v>
      </c>
      <c r="B89" s="16" t="s">
        <v>80</v>
      </c>
      <c r="C89" s="16" t="s">
        <v>34</v>
      </c>
      <c r="D89" s="16" t="s">
        <v>61</v>
      </c>
      <c r="E89" s="16" t="s">
        <v>54</v>
      </c>
      <c r="F89" s="16" t="s">
        <v>58</v>
      </c>
      <c r="G89" s="16" t="s">
        <v>89</v>
      </c>
      <c r="H89" s="16">
        <v>29</v>
      </c>
      <c r="I89" s="17">
        <v>30335.22</v>
      </c>
      <c r="J89" s="17">
        <v>879721.38</v>
      </c>
      <c r="K89" s="17">
        <v>721371.53</v>
      </c>
      <c r="L89" s="17">
        <v>158349.85</v>
      </c>
      <c r="M89" s="16" t="s">
        <v>39</v>
      </c>
      <c r="N89" s="16" t="s">
        <v>40</v>
      </c>
      <c r="O89" s="17">
        <v>782724.93</v>
      </c>
      <c r="P89" s="18">
        <v>112.39</v>
      </c>
      <c r="Q89" s="18">
        <v>15.86</v>
      </c>
    </row>
    <row r="90" spans="1:17" x14ac:dyDescent="0.3">
      <c r="A90" s="13" t="s">
        <v>88</v>
      </c>
      <c r="B90" s="13" t="s">
        <v>80</v>
      </c>
      <c r="C90" s="13" t="s">
        <v>43</v>
      </c>
      <c r="D90" s="13" t="s">
        <v>57</v>
      </c>
      <c r="E90" s="13" t="s">
        <v>29</v>
      </c>
      <c r="F90" s="13" t="s">
        <v>37</v>
      </c>
      <c r="G90" s="13" t="s">
        <v>84</v>
      </c>
      <c r="H90" s="13">
        <v>9</v>
      </c>
      <c r="I90" s="14">
        <v>24932.93</v>
      </c>
      <c r="J90" s="14">
        <v>224396.37</v>
      </c>
      <c r="K90" s="14">
        <v>157077.46</v>
      </c>
      <c r="L90" s="14">
        <v>67318.91</v>
      </c>
      <c r="M90" s="13" t="s">
        <v>39</v>
      </c>
      <c r="N90" s="13" t="s">
        <v>25</v>
      </c>
      <c r="O90" s="14">
        <v>223905.13</v>
      </c>
      <c r="P90" s="15">
        <v>100.22</v>
      </c>
      <c r="Q90" s="15">
        <v>-7.9</v>
      </c>
    </row>
    <row r="91" spans="1:17" x14ac:dyDescent="0.3">
      <c r="A91" s="16" t="s">
        <v>124</v>
      </c>
      <c r="B91" s="16" t="s">
        <v>80</v>
      </c>
      <c r="C91" s="16" t="s">
        <v>49</v>
      </c>
      <c r="D91" s="16" t="s">
        <v>102</v>
      </c>
      <c r="E91" s="16" t="s">
        <v>125</v>
      </c>
      <c r="F91" s="16" t="s">
        <v>52</v>
      </c>
      <c r="G91" s="16" t="s">
        <v>55</v>
      </c>
      <c r="H91" s="16">
        <v>34</v>
      </c>
      <c r="I91" s="17">
        <v>354.51</v>
      </c>
      <c r="J91" s="17">
        <v>12053.34</v>
      </c>
      <c r="K91" s="17">
        <v>10606.94</v>
      </c>
      <c r="L91" s="17">
        <v>1446.4</v>
      </c>
      <c r="M91" s="16" t="s">
        <v>39</v>
      </c>
      <c r="N91" s="16" t="s">
        <v>25</v>
      </c>
      <c r="O91" s="17">
        <v>10554.03</v>
      </c>
      <c r="P91" s="18">
        <v>114.21</v>
      </c>
      <c r="Q91" s="18">
        <v>-14.05</v>
      </c>
    </row>
    <row r="92" spans="1:17" x14ac:dyDescent="0.3">
      <c r="A92" s="13" t="s">
        <v>124</v>
      </c>
      <c r="B92" s="13" t="s">
        <v>80</v>
      </c>
      <c r="C92" s="13" t="s">
        <v>19</v>
      </c>
      <c r="D92" s="13" t="s">
        <v>81</v>
      </c>
      <c r="E92" s="13" t="s">
        <v>21</v>
      </c>
      <c r="F92" s="13" t="s">
        <v>30</v>
      </c>
      <c r="G92" s="13" t="s">
        <v>100</v>
      </c>
      <c r="H92" s="13">
        <v>36</v>
      </c>
      <c r="I92" s="14">
        <v>40943.480000000003</v>
      </c>
      <c r="J92" s="14">
        <v>1473965.28</v>
      </c>
      <c r="K92" s="14">
        <v>1179172.22</v>
      </c>
      <c r="L92" s="14">
        <v>294793.06</v>
      </c>
      <c r="M92" s="13" t="s">
        <v>39</v>
      </c>
      <c r="N92" s="13" t="s">
        <v>25</v>
      </c>
      <c r="O92" s="14">
        <v>1408795.92</v>
      </c>
      <c r="P92" s="15">
        <v>104.63</v>
      </c>
      <c r="Q92" s="15">
        <v>25.04</v>
      </c>
    </row>
    <row r="93" spans="1:17" x14ac:dyDescent="0.3">
      <c r="A93" s="16" t="s">
        <v>129</v>
      </c>
      <c r="B93" s="16" t="s">
        <v>80</v>
      </c>
      <c r="C93" s="16" t="s">
        <v>19</v>
      </c>
      <c r="D93" s="16" t="s">
        <v>107</v>
      </c>
      <c r="E93" s="16" t="s">
        <v>45</v>
      </c>
      <c r="F93" s="16" t="s">
        <v>58</v>
      </c>
      <c r="G93" s="16" t="s">
        <v>116</v>
      </c>
      <c r="H93" s="16">
        <v>14</v>
      </c>
      <c r="I93" s="17">
        <v>4224.07</v>
      </c>
      <c r="J93" s="17">
        <v>59136.98</v>
      </c>
      <c r="K93" s="17">
        <v>48492.32</v>
      </c>
      <c r="L93" s="17">
        <v>10644.66</v>
      </c>
      <c r="M93" s="16" t="s">
        <v>24</v>
      </c>
      <c r="N93" s="16" t="s">
        <v>25</v>
      </c>
      <c r="O93" s="17">
        <v>70308.539999999994</v>
      </c>
      <c r="P93" s="18">
        <v>84.11</v>
      </c>
      <c r="Q93" s="18">
        <v>0.76</v>
      </c>
    </row>
    <row r="94" spans="1:17" x14ac:dyDescent="0.3">
      <c r="A94" s="13" t="s">
        <v>129</v>
      </c>
      <c r="B94" s="13" t="s">
        <v>80</v>
      </c>
      <c r="C94" s="13" t="s">
        <v>43</v>
      </c>
      <c r="D94" s="13" t="s">
        <v>130</v>
      </c>
      <c r="E94" s="13" t="s">
        <v>36</v>
      </c>
      <c r="F94" s="13" t="s">
        <v>52</v>
      </c>
      <c r="G94" s="13" t="s">
        <v>53</v>
      </c>
      <c r="H94" s="13">
        <v>17</v>
      </c>
      <c r="I94" s="14">
        <v>203.69</v>
      </c>
      <c r="J94" s="14">
        <v>3462.73</v>
      </c>
      <c r="K94" s="14">
        <v>3047.2</v>
      </c>
      <c r="L94" s="14">
        <v>415.53</v>
      </c>
      <c r="M94" s="13" t="s">
        <v>24</v>
      </c>
      <c r="N94" s="13" t="s">
        <v>40</v>
      </c>
      <c r="O94" s="14">
        <v>3529.22</v>
      </c>
      <c r="P94" s="15">
        <v>98.12</v>
      </c>
      <c r="Q94" s="15">
        <v>28.08</v>
      </c>
    </row>
    <row r="95" spans="1:17" x14ac:dyDescent="0.3">
      <c r="A95" s="16" t="s">
        <v>133</v>
      </c>
      <c r="B95" s="16" t="s">
        <v>80</v>
      </c>
      <c r="C95" s="16" t="s">
        <v>43</v>
      </c>
      <c r="D95" s="16" t="s">
        <v>57</v>
      </c>
      <c r="E95" s="16" t="s">
        <v>134</v>
      </c>
      <c r="F95" s="16" t="s">
        <v>37</v>
      </c>
      <c r="G95" s="16" t="s">
        <v>84</v>
      </c>
      <c r="H95" s="16">
        <v>16</v>
      </c>
      <c r="I95" s="17">
        <v>20698.71</v>
      </c>
      <c r="J95" s="17">
        <v>331179.36</v>
      </c>
      <c r="K95" s="17">
        <v>231825.55</v>
      </c>
      <c r="L95" s="17">
        <v>99353.81</v>
      </c>
      <c r="M95" s="16" t="s">
        <v>24</v>
      </c>
      <c r="N95" s="16" t="s">
        <v>40</v>
      </c>
      <c r="O95" s="17">
        <v>412586.34</v>
      </c>
      <c r="P95" s="18">
        <v>80.27</v>
      </c>
      <c r="Q95" s="18">
        <v>13.8</v>
      </c>
    </row>
    <row r="96" spans="1:17" x14ac:dyDescent="0.3">
      <c r="A96" s="13" t="s">
        <v>175</v>
      </c>
      <c r="B96" s="13" t="s">
        <v>80</v>
      </c>
      <c r="C96" s="13" t="s">
        <v>34</v>
      </c>
      <c r="D96" s="13" t="s">
        <v>144</v>
      </c>
      <c r="E96" s="13" t="s">
        <v>29</v>
      </c>
      <c r="F96" s="13" t="s">
        <v>30</v>
      </c>
      <c r="G96" s="13" t="s">
        <v>31</v>
      </c>
      <c r="H96" s="13">
        <v>26</v>
      </c>
      <c r="I96" s="14">
        <v>3629.45</v>
      </c>
      <c r="J96" s="14">
        <v>94365.7</v>
      </c>
      <c r="K96" s="14">
        <v>75492.56</v>
      </c>
      <c r="L96" s="14">
        <v>18873.14</v>
      </c>
      <c r="M96" s="13" t="s">
        <v>39</v>
      </c>
      <c r="N96" s="13" t="s">
        <v>40</v>
      </c>
      <c r="O96" s="14">
        <v>91040.77</v>
      </c>
      <c r="P96" s="15">
        <v>103.65</v>
      </c>
      <c r="Q96" s="15">
        <v>4.34</v>
      </c>
    </row>
    <row r="97" spans="1:17" x14ac:dyDescent="0.3">
      <c r="A97" s="16" t="s">
        <v>175</v>
      </c>
      <c r="B97" s="16" t="s">
        <v>80</v>
      </c>
      <c r="C97" s="16" t="s">
        <v>49</v>
      </c>
      <c r="D97" s="16" t="s">
        <v>70</v>
      </c>
      <c r="E97" s="16" t="s">
        <v>71</v>
      </c>
      <c r="F97" s="16" t="s">
        <v>22</v>
      </c>
      <c r="G97" s="16" t="s">
        <v>72</v>
      </c>
      <c r="H97" s="16">
        <v>33</v>
      </c>
      <c r="I97" s="17">
        <v>3867.17</v>
      </c>
      <c r="J97" s="17">
        <v>127616.61</v>
      </c>
      <c r="K97" s="17">
        <v>70189.14</v>
      </c>
      <c r="L97" s="17">
        <v>57427.47</v>
      </c>
      <c r="M97" s="16" t="s">
        <v>39</v>
      </c>
      <c r="N97" s="16" t="s">
        <v>40</v>
      </c>
      <c r="O97" s="17">
        <v>145536.57999999999</v>
      </c>
      <c r="P97" s="18">
        <v>87.69</v>
      </c>
      <c r="Q97" s="18">
        <v>22.69</v>
      </c>
    </row>
    <row r="98" spans="1:17" x14ac:dyDescent="0.3">
      <c r="A98" s="13" t="s">
        <v>194</v>
      </c>
      <c r="B98" s="13" t="s">
        <v>80</v>
      </c>
      <c r="C98" s="13" t="s">
        <v>49</v>
      </c>
      <c r="D98" s="13" t="s">
        <v>70</v>
      </c>
      <c r="E98" s="13" t="s">
        <v>66</v>
      </c>
      <c r="F98" s="13" t="s">
        <v>30</v>
      </c>
      <c r="G98" s="13" t="s">
        <v>140</v>
      </c>
      <c r="H98" s="13">
        <v>39</v>
      </c>
      <c r="I98" s="14">
        <v>9879.17</v>
      </c>
      <c r="J98" s="14">
        <v>385287.63</v>
      </c>
      <c r="K98" s="14">
        <v>308230.09999999998</v>
      </c>
      <c r="L98" s="14">
        <v>77057.53</v>
      </c>
      <c r="M98" s="13" t="s">
        <v>39</v>
      </c>
      <c r="N98" s="13" t="s">
        <v>40</v>
      </c>
      <c r="O98" s="14">
        <v>396925.55</v>
      </c>
      <c r="P98" s="15">
        <v>97.07</v>
      </c>
      <c r="Q98" s="15">
        <v>4.92</v>
      </c>
    </row>
    <row r="99" spans="1:17" x14ac:dyDescent="0.3">
      <c r="A99" s="16" t="s">
        <v>201</v>
      </c>
      <c r="B99" s="16" t="s">
        <v>80</v>
      </c>
      <c r="C99" s="16" t="s">
        <v>43</v>
      </c>
      <c r="D99" s="16" t="s">
        <v>65</v>
      </c>
      <c r="E99" s="16" t="s">
        <v>134</v>
      </c>
      <c r="F99" s="16" t="s">
        <v>22</v>
      </c>
      <c r="G99" s="16" t="s">
        <v>72</v>
      </c>
      <c r="H99" s="16">
        <v>10</v>
      </c>
      <c r="I99" s="17">
        <v>4035.49</v>
      </c>
      <c r="J99" s="17">
        <v>40354.9</v>
      </c>
      <c r="K99" s="17">
        <v>22195.200000000001</v>
      </c>
      <c r="L99" s="17">
        <v>18159.7</v>
      </c>
      <c r="M99" s="16" t="s">
        <v>24</v>
      </c>
      <c r="N99" s="16" t="s">
        <v>40</v>
      </c>
      <c r="O99" s="17">
        <v>41805.64</v>
      </c>
      <c r="P99" s="18">
        <v>96.53</v>
      </c>
      <c r="Q99" s="18">
        <v>22.16</v>
      </c>
    </row>
    <row r="100" spans="1:17" x14ac:dyDescent="0.3">
      <c r="A100" s="13" t="s">
        <v>47</v>
      </c>
      <c r="B100" s="13" t="s">
        <v>48</v>
      </c>
      <c r="C100" s="13" t="s">
        <v>49</v>
      </c>
      <c r="D100" s="13" t="s">
        <v>50</v>
      </c>
      <c r="E100" s="13" t="s">
        <v>51</v>
      </c>
      <c r="F100" s="13" t="s">
        <v>52</v>
      </c>
      <c r="G100" s="13" t="s">
        <v>53</v>
      </c>
      <c r="H100" s="13">
        <v>8</v>
      </c>
      <c r="I100" s="14">
        <v>168.88</v>
      </c>
      <c r="J100" s="14">
        <v>1351.04</v>
      </c>
      <c r="K100" s="14">
        <v>1188.92</v>
      </c>
      <c r="L100" s="14">
        <v>162.12</v>
      </c>
      <c r="M100" s="13" t="s">
        <v>39</v>
      </c>
      <c r="N100" s="13" t="s">
        <v>40</v>
      </c>
      <c r="O100" s="14">
        <v>1470.69</v>
      </c>
      <c r="P100" s="15">
        <v>91.86</v>
      </c>
      <c r="Q100" s="15">
        <v>2.31</v>
      </c>
    </row>
    <row r="101" spans="1:17" x14ac:dyDescent="0.3">
      <c r="A101" s="16" t="s">
        <v>47</v>
      </c>
      <c r="B101" s="16" t="s">
        <v>48</v>
      </c>
      <c r="C101" s="16" t="s">
        <v>19</v>
      </c>
      <c r="D101" s="16" t="s">
        <v>20</v>
      </c>
      <c r="E101" s="16" t="s">
        <v>54</v>
      </c>
      <c r="F101" s="16" t="s">
        <v>52</v>
      </c>
      <c r="G101" s="16" t="s">
        <v>55</v>
      </c>
      <c r="H101" s="16">
        <v>8</v>
      </c>
      <c r="I101" s="17">
        <v>398.04</v>
      </c>
      <c r="J101" s="17">
        <v>3184.32</v>
      </c>
      <c r="K101" s="17">
        <v>2802.2</v>
      </c>
      <c r="L101" s="17">
        <v>382.12</v>
      </c>
      <c r="M101" s="16" t="s">
        <v>24</v>
      </c>
      <c r="N101" s="16" t="s">
        <v>25</v>
      </c>
      <c r="O101" s="17">
        <v>3550.86</v>
      </c>
      <c r="P101" s="18">
        <v>89.68</v>
      </c>
      <c r="Q101" s="18">
        <v>13.88</v>
      </c>
    </row>
    <row r="102" spans="1:17" x14ac:dyDescent="0.3">
      <c r="A102" s="13" t="s">
        <v>60</v>
      </c>
      <c r="B102" s="13" t="s">
        <v>48</v>
      </c>
      <c r="C102" s="13" t="s">
        <v>34</v>
      </c>
      <c r="D102" s="13" t="s">
        <v>61</v>
      </c>
      <c r="E102" s="13" t="s">
        <v>36</v>
      </c>
      <c r="F102" s="13" t="s">
        <v>30</v>
      </c>
      <c r="G102" s="13" t="s">
        <v>62</v>
      </c>
      <c r="H102" s="13">
        <v>31</v>
      </c>
      <c r="I102" s="14">
        <v>43512.32</v>
      </c>
      <c r="J102" s="14">
        <v>1348881.92</v>
      </c>
      <c r="K102" s="14">
        <v>1079105.54</v>
      </c>
      <c r="L102" s="14">
        <v>269776.38</v>
      </c>
      <c r="M102" s="13" t="s">
        <v>39</v>
      </c>
      <c r="N102" s="13" t="s">
        <v>40</v>
      </c>
      <c r="O102" s="14">
        <v>1443986.23</v>
      </c>
      <c r="P102" s="15">
        <v>93.41</v>
      </c>
      <c r="Q102" s="15">
        <v>2.2599999999999998</v>
      </c>
    </row>
    <row r="103" spans="1:17" x14ac:dyDescent="0.3">
      <c r="A103" s="16" t="s">
        <v>108</v>
      </c>
      <c r="B103" s="16" t="s">
        <v>48</v>
      </c>
      <c r="C103" s="16" t="s">
        <v>34</v>
      </c>
      <c r="D103" s="16" t="s">
        <v>35</v>
      </c>
      <c r="E103" s="16" t="s">
        <v>45</v>
      </c>
      <c r="F103" s="16" t="s">
        <v>37</v>
      </c>
      <c r="G103" s="16" t="s">
        <v>78</v>
      </c>
      <c r="H103" s="16">
        <v>9</v>
      </c>
      <c r="I103" s="17">
        <v>6791.51</v>
      </c>
      <c r="J103" s="17">
        <v>61123.59</v>
      </c>
      <c r="K103" s="17">
        <v>42786.51</v>
      </c>
      <c r="L103" s="17">
        <v>18337.080000000002</v>
      </c>
      <c r="M103" s="16" t="s">
        <v>24</v>
      </c>
      <c r="N103" s="16" t="s">
        <v>40</v>
      </c>
      <c r="O103" s="17">
        <v>54923.85</v>
      </c>
      <c r="P103" s="18">
        <v>111.29</v>
      </c>
      <c r="Q103" s="18">
        <v>28.79</v>
      </c>
    </row>
    <row r="104" spans="1:17" x14ac:dyDescent="0.3">
      <c r="A104" s="13" t="s">
        <v>128</v>
      </c>
      <c r="B104" s="13" t="s">
        <v>48</v>
      </c>
      <c r="C104" s="13" t="s">
        <v>34</v>
      </c>
      <c r="D104" s="13" t="s">
        <v>111</v>
      </c>
      <c r="E104" s="13" t="s">
        <v>36</v>
      </c>
      <c r="F104" s="13" t="s">
        <v>22</v>
      </c>
      <c r="G104" s="13" t="s">
        <v>93</v>
      </c>
      <c r="H104" s="13">
        <v>38</v>
      </c>
      <c r="I104" s="14">
        <v>2713.92</v>
      </c>
      <c r="J104" s="14">
        <v>103128.96000000001</v>
      </c>
      <c r="K104" s="14">
        <v>56720.93</v>
      </c>
      <c r="L104" s="14">
        <v>46408.03</v>
      </c>
      <c r="M104" s="13" t="s">
        <v>39</v>
      </c>
      <c r="N104" s="13" t="s">
        <v>40</v>
      </c>
      <c r="O104" s="14">
        <v>114676.18</v>
      </c>
      <c r="P104" s="15">
        <v>89.93</v>
      </c>
      <c r="Q104" s="15">
        <v>22.52</v>
      </c>
    </row>
    <row r="105" spans="1:17" x14ac:dyDescent="0.3">
      <c r="A105" s="16" t="s">
        <v>131</v>
      </c>
      <c r="B105" s="16" t="s">
        <v>48</v>
      </c>
      <c r="C105" s="16" t="s">
        <v>49</v>
      </c>
      <c r="D105" s="16" t="s">
        <v>77</v>
      </c>
      <c r="E105" s="16" t="s">
        <v>71</v>
      </c>
      <c r="F105" s="16" t="s">
        <v>52</v>
      </c>
      <c r="G105" s="16" t="s">
        <v>132</v>
      </c>
      <c r="H105" s="16">
        <v>11</v>
      </c>
      <c r="I105" s="17">
        <v>218.35</v>
      </c>
      <c r="J105" s="17">
        <v>2401.85</v>
      </c>
      <c r="K105" s="17">
        <v>2113.63</v>
      </c>
      <c r="L105" s="17">
        <v>288.22000000000003</v>
      </c>
      <c r="M105" s="16" t="s">
        <v>24</v>
      </c>
      <c r="N105" s="16" t="s">
        <v>25</v>
      </c>
      <c r="O105" s="17">
        <v>2890.23</v>
      </c>
      <c r="P105" s="18">
        <v>83.1</v>
      </c>
      <c r="Q105" s="18">
        <v>-8</v>
      </c>
    </row>
    <row r="106" spans="1:17" x14ac:dyDescent="0.3">
      <c r="A106" s="13" t="s">
        <v>137</v>
      </c>
      <c r="B106" s="13" t="s">
        <v>48</v>
      </c>
      <c r="C106" s="13" t="s">
        <v>19</v>
      </c>
      <c r="D106" s="13" t="s">
        <v>28</v>
      </c>
      <c r="E106" s="13" t="s">
        <v>21</v>
      </c>
      <c r="F106" s="13" t="s">
        <v>52</v>
      </c>
      <c r="G106" s="13" t="s">
        <v>132</v>
      </c>
      <c r="H106" s="13">
        <v>14</v>
      </c>
      <c r="I106" s="14">
        <v>226.11</v>
      </c>
      <c r="J106" s="14">
        <v>3165.54</v>
      </c>
      <c r="K106" s="14">
        <v>2785.68</v>
      </c>
      <c r="L106" s="14">
        <v>379.86</v>
      </c>
      <c r="M106" s="13" t="s">
        <v>39</v>
      </c>
      <c r="N106" s="13" t="s">
        <v>25</v>
      </c>
      <c r="O106" s="14">
        <v>3050.04</v>
      </c>
      <c r="P106" s="15">
        <v>103.79</v>
      </c>
      <c r="Q106" s="15">
        <v>14.87</v>
      </c>
    </row>
    <row r="107" spans="1:17" x14ac:dyDescent="0.3">
      <c r="A107" s="16" t="s">
        <v>167</v>
      </c>
      <c r="B107" s="16" t="s">
        <v>48</v>
      </c>
      <c r="C107" s="16" t="s">
        <v>43</v>
      </c>
      <c r="D107" s="16" t="s">
        <v>57</v>
      </c>
      <c r="E107" s="16" t="s">
        <v>134</v>
      </c>
      <c r="F107" s="16" t="s">
        <v>58</v>
      </c>
      <c r="G107" s="16" t="s">
        <v>116</v>
      </c>
      <c r="H107" s="16">
        <v>32</v>
      </c>
      <c r="I107" s="17">
        <v>4986.9399999999996</v>
      </c>
      <c r="J107" s="17">
        <v>159582.07999999999</v>
      </c>
      <c r="K107" s="17">
        <v>130857.31</v>
      </c>
      <c r="L107" s="17">
        <v>28724.77</v>
      </c>
      <c r="M107" s="16" t="s">
        <v>24</v>
      </c>
      <c r="N107" s="16" t="s">
        <v>25</v>
      </c>
      <c r="O107" s="17">
        <v>174395.45</v>
      </c>
      <c r="P107" s="18">
        <v>91.51</v>
      </c>
      <c r="Q107" s="18">
        <v>0.85</v>
      </c>
    </row>
    <row r="108" spans="1:17" x14ac:dyDescent="0.3">
      <c r="A108" s="13" t="s">
        <v>170</v>
      </c>
      <c r="B108" s="13" t="s">
        <v>48</v>
      </c>
      <c r="C108" s="13" t="s">
        <v>19</v>
      </c>
      <c r="D108" s="13" t="s">
        <v>28</v>
      </c>
      <c r="E108" s="13" t="s">
        <v>36</v>
      </c>
      <c r="F108" s="13" t="s">
        <v>30</v>
      </c>
      <c r="G108" s="13" t="s">
        <v>31</v>
      </c>
      <c r="H108" s="13">
        <v>36</v>
      </c>
      <c r="I108" s="14">
        <v>3540.17</v>
      </c>
      <c r="J108" s="14">
        <v>127446.12</v>
      </c>
      <c r="K108" s="14">
        <v>101956.9</v>
      </c>
      <c r="L108" s="14">
        <v>25489.22</v>
      </c>
      <c r="M108" s="13" t="s">
        <v>39</v>
      </c>
      <c r="N108" s="13" t="s">
        <v>40</v>
      </c>
      <c r="O108" s="14">
        <v>131273.06</v>
      </c>
      <c r="P108" s="15">
        <v>97.08</v>
      </c>
      <c r="Q108" s="15">
        <v>18.829999999999998</v>
      </c>
    </row>
    <row r="109" spans="1:17" x14ac:dyDescent="0.3">
      <c r="A109" s="16" t="s">
        <v>188</v>
      </c>
      <c r="B109" s="16" t="s">
        <v>48</v>
      </c>
      <c r="C109" s="16" t="s">
        <v>19</v>
      </c>
      <c r="D109" s="16" t="s">
        <v>107</v>
      </c>
      <c r="E109" s="16" t="s">
        <v>99</v>
      </c>
      <c r="F109" s="16" t="s">
        <v>37</v>
      </c>
      <c r="G109" s="16" t="s">
        <v>78</v>
      </c>
      <c r="H109" s="16">
        <v>5</v>
      </c>
      <c r="I109" s="17">
        <v>6165.72</v>
      </c>
      <c r="J109" s="17">
        <v>30828.6</v>
      </c>
      <c r="K109" s="17">
        <v>21580.02</v>
      </c>
      <c r="L109" s="17">
        <v>9248.58</v>
      </c>
      <c r="M109" s="16" t="s">
        <v>39</v>
      </c>
      <c r="N109" s="16" t="s">
        <v>25</v>
      </c>
      <c r="O109" s="17">
        <v>37375.64</v>
      </c>
      <c r="P109" s="18">
        <v>82.48</v>
      </c>
      <c r="Q109" s="18">
        <v>0.72</v>
      </c>
    </row>
    <row r="110" spans="1:17" x14ac:dyDescent="0.3">
      <c r="A110" s="13" t="s">
        <v>199</v>
      </c>
      <c r="B110" s="13" t="s">
        <v>48</v>
      </c>
      <c r="C110" s="13" t="s">
        <v>19</v>
      </c>
      <c r="D110" s="13" t="s">
        <v>20</v>
      </c>
      <c r="E110" s="13" t="s">
        <v>134</v>
      </c>
      <c r="F110" s="13" t="s">
        <v>52</v>
      </c>
      <c r="G110" s="13" t="s">
        <v>53</v>
      </c>
      <c r="H110" s="13">
        <v>35</v>
      </c>
      <c r="I110" s="14">
        <v>164.34</v>
      </c>
      <c r="J110" s="14">
        <v>5751.9</v>
      </c>
      <c r="K110" s="14">
        <v>5061.67</v>
      </c>
      <c r="L110" s="14">
        <v>690.23</v>
      </c>
      <c r="M110" s="13" t="s">
        <v>24</v>
      </c>
      <c r="N110" s="13" t="s">
        <v>25</v>
      </c>
      <c r="O110" s="14">
        <v>6384.94</v>
      </c>
      <c r="P110" s="15">
        <v>90.09</v>
      </c>
      <c r="Q110" s="15">
        <v>20.16</v>
      </c>
    </row>
    <row r="111" spans="1:17" x14ac:dyDescent="0.3">
      <c r="A111" s="16" t="s">
        <v>199</v>
      </c>
      <c r="B111" s="16" t="s">
        <v>48</v>
      </c>
      <c r="C111" s="16" t="s">
        <v>49</v>
      </c>
      <c r="D111" s="16" t="s">
        <v>50</v>
      </c>
      <c r="E111" s="16" t="s">
        <v>36</v>
      </c>
      <c r="F111" s="16" t="s">
        <v>52</v>
      </c>
      <c r="G111" s="16" t="s">
        <v>82</v>
      </c>
      <c r="H111" s="16">
        <v>3</v>
      </c>
      <c r="I111" s="17">
        <v>117.55</v>
      </c>
      <c r="J111" s="17">
        <v>352.65</v>
      </c>
      <c r="K111" s="17">
        <v>310.33</v>
      </c>
      <c r="L111" s="17">
        <v>42.32</v>
      </c>
      <c r="M111" s="16" t="s">
        <v>24</v>
      </c>
      <c r="N111" s="16" t="s">
        <v>40</v>
      </c>
      <c r="O111" s="17">
        <v>354.21</v>
      </c>
      <c r="P111" s="18">
        <v>99.56</v>
      </c>
      <c r="Q111" s="18">
        <v>14.87</v>
      </c>
    </row>
    <row r="112" spans="1:17" x14ac:dyDescent="0.3">
      <c r="A112" s="13" t="s">
        <v>26</v>
      </c>
      <c r="B112" s="13" t="s">
        <v>27</v>
      </c>
      <c r="C112" s="13" t="s">
        <v>19</v>
      </c>
      <c r="D112" s="13" t="s">
        <v>28</v>
      </c>
      <c r="E112" s="13" t="s">
        <v>29</v>
      </c>
      <c r="F112" s="13" t="s">
        <v>30</v>
      </c>
      <c r="G112" s="13" t="s">
        <v>31</v>
      </c>
      <c r="H112" s="13">
        <v>30</v>
      </c>
      <c r="I112" s="14">
        <v>3592.36</v>
      </c>
      <c r="J112" s="14">
        <v>107770.8</v>
      </c>
      <c r="K112" s="14">
        <v>86216.639999999999</v>
      </c>
      <c r="L112" s="14">
        <v>21554.16</v>
      </c>
      <c r="M112" s="13" t="s">
        <v>24</v>
      </c>
      <c r="N112" s="13" t="s">
        <v>25</v>
      </c>
      <c r="O112" s="14">
        <v>125794.22</v>
      </c>
      <c r="P112" s="15">
        <v>85.67</v>
      </c>
      <c r="Q112" s="15">
        <v>-9.85</v>
      </c>
    </row>
    <row r="113" spans="1:17" x14ac:dyDescent="0.3">
      <c r="A113" s="16" t="s">
        <v>92</v>
      </c>
      <c r="B113" s="16" t="s">
        <v>27</v>
      </c>
      <c r="C113" s="16" t="s">
        <v>19</v>
      </c>
      <c r="D113" s="16" t="s">
        <v>20</v>
      </c>
      <c r="E113" s="16" t="s">
        <v>29</v>
      </c>
      <c r="F113" s="16" t="s">
        <v>22</v>
      </c>
      <c r="G113" s="16" t="s">
        <v>93</v>
      </c>
      <c r="H113" s="16">
        <v>43</v>
      </c>
      <c r="I113" s="17">
        <v>2505.25</v>
      </c>
      <c r="J113" s="17">
        <v>107725.75</v>
      </c>
      <c r="K113" s="17">
        <v>59249.16</v>
      </c>
      <c r="L113" s="17">
        <v>48476.59</v>
      </c>
      <c r="M113" s="16" t="s">
        <v>24</v>
      </c>
      <c r="N113" s="16" t="s">
        <v>40</v>
      </c>
      <c r="O113" s="17">
        <v>115456.69</v>
      </c>
      <c r="P113" s="18">
        <v>93.3</v>
      </c>
      <c r="Q113" s="18">
        <v>-6.37</v>
      </c>
    </row>
    <row r="114" spans="1:17" x14ac:dyDescent="0.3">
      <c r="A114" s="13" t="s">
        <v>110</v>
      </c>
      <c r="B114" s="13" t="s">
        <v>27</v>
      </c>
      <c r="C114" s="13" t="s">
        <v>34</v>
      </c>
      <c r="D114" s="13" t="s">
        <v>111</v>
      </c>
      <c r="E114" s="13" t="s">
        <v>66</v>
      </c>
      <c r="F114" s="13" t="s">
        <v>30</v>
      </c>
      <c r="G114" s="13" t="s">
        <v>31</v>
      </c>
      <c r="H114" s="13">
        <v>15</v>
      </c>
      <c r="I114" s="14">
        <v>3577.2</v>
      </c>
      <c r="J114" s="14">
        <v>53658</v>
      </c>
      <c r="K114" s="14">
        <v>42926.400000000001</v>
      </c>
      <c r="L114" s="14">
        <v>10731.6</v>
      </c>
      <c r="M114" s="13" t="s">
        <v>24</v>
      </c>
      <c r="N114" s="13" t="s">
        <v>40</v>
      </c>
      <c r="O114" s="14">
        <v>56032.73</v>
      </c>
      <c r="P114" s="15">
        <v>95.76</v>
      </c>
      <c r="Q114" s="15">
        <v>2.5</v>
      </c>
    </row>
    <row r="115" spans="1:17" x14ac:dyDescent="0.3">
      <c r="A115" s="16" t="s">
        <v>117</v>
      </c>
      <c r="B115" s="16" t="s">
        <v>27</v>
      </c>
      <c r="C115" s="16" t="s">
        <v>34</v>
      </c>
      <c r="D115" s="16" t="s">
        <v>61</v>
      </c>
      <c r="E115" s="16" t="s">
        <v>36</v>
      </c>
      <c r="F115" s="16" t="s">
        <v>37</v>
      </c>
      <c r="G115" s="16" t="s">
        <v>84</v>
      </c>
      <c r="H115" s="16">
        <v>41</v>
      </c>
      <c r="I115" s="17">
        <v>24278.35</v>
      </c>
      <c r="J115" s="17">
        <v>995412.35</v>
      </c>
      <c r="K115" s="17">
        <v>696788.64</v>
      </c>
      <c r="L115" s="17">
        <v>298623.71000000002</v>
      </c>
      <c r="M115" s="16" t="s">
        <v>39</v>
      </c>
      <c r="N115" s="16" t="s">
        <v>40</v>
      </c>
      <c r="O115" s="17">
        <v>984646.39</v>
      </c>
      <c r="P115" s="18">
        <v>101.09</v>
      </c>
      <c r="Q115" s="18">
        <v>0</v>
      </c>
    </row>
    <row r="116" spans="1:17" x14ac:dyDescent="0.3">
      <c r="A116" s="13" t="s">
        <v>146</v>
      </c>
      <c r="B116" s="13" t="s">
        <v>27</v>
      </c>
      <c r="C116" s="13" t="s">
        <v>19</v>
      </c>
      <c r="D116" s="13" t="s">
        <v>81</v>
      </c>
      <c r="E116" s="13" t="s">
        <v>134</v>
      </c>
      <c r="F116" s="13" t="s">
        <v>52</v>
      </c>
      <c r="G116" s="13" t="s">
        <v>132</v>
      </c>
      <c r="H116" s="13">
        <v>13</v>
      </c>
      <c r="I116" s="14">
        <v>202.18</v>
      </c>
      <c r="J116" s="14">
        <v>2628.34</v>
      </c>
      <c r="K116" s="14">
        <v>2312.94</v>
      </c>
      <c r="L116" s="14">
        <v>315.39999999999998</v>
      </c>
      <c r="M116" s="13" t="s">
        <v>39</v>
      </c>
      <c r="N116" s="13" t="s">
        <v>25</v>
      </c>
      <c r="O116" s="14">
        <v>2967.07</v>
      </c>
      <c r="P116" s="15">
        <v>88.58</v>
      </c>
      <c r="Q116" s="15">
        <v>-1.43</v>
      </c>
    </row>
    <row r="117" spans="1:17" x14ac:dyDescent="0.3">
      <c r="A117" s="16" t="s">
        <v>156</v>
      </c>
      <c r="B117" s="16" t="s">
        <v>27</v>
      </c>
      <c r="C117" s="16" t="s">
        <v>34</v>
      </c>
      <c r="D117" s="16" t="s">
        <v>61</v>
      </c>
      <c r="E117" s="16" t="s">
        <v>54</v>
      </c>
      <c r="F117" s="16" t="s">
        <v>22</v>
      </c>
      <c r="G117" s="16" t="s">
        <v>23</v>
      </c>
      <c r="H117" s="16">
        <v>8</v>
      </c>
      <c r="I117" s="17">
        <v>3781.12</v>
      </c>
      <c r="J117" s="17">
        <v>30248.959999999999</v>
      </c>
      <c r="K117" s="17">
        <v>16636.93</v>
      </c>
      <c r="L117" s="17">
        <v>13612.03</v>
      </c>
      <c r="M117" s="16" t="s">
        <v>24</v>
      </c>
      <c r="N117" s="16" t="s">
        <v>25</v>
      </c>
      <c r="O117" s="17">
        <v>34700.17</v>
      </c>
      <c r="P117" s="18">
        <v>87.17</v>
      </c>
      <c r="Q117" s="18">
        <v>27.79</v>
      </c>
    </row>
    <row r="118" spans="1:17" x14ac:dyDescent="0.3">
      <c r="A118" s="13" t="s">
        <v>173</v>
      </c>
      <c r="B118" s="13" t="s">
        <v>27</v>
      </c>
      <c r="C118" s="13" t="s">
        <v>34</v>
      </c>
      <c r="D118" s="13" t="s">
        <v>144</v>
      </c>
      <c r="E118" s="13" t="s">
        <v>125</v>
      </c>
      <c r="F118" s="13" t="s">
        <v>52</v>
      </c>
      <c r="G118" s="13" t="s">
        <v>161</v>
      </c>
      <c r="H118" s="13">
        <v>23</v>
      </c>
      <c r="I118" s="14">
        <v>639.02</v>
      </c>
      <c r="J118" s="14">
        <v>14697.46</v>
      </c>
      <c r="K118" s="14">
        <v>12933.76</v>
      </c>
      <c r="L118" s="14">
        <v>1763.7</v>
      </c>
      <c r="M118" s="13" t="s">
        <v>24</v>
      </c>
      <c r="N118" s="13" t="s">
        <v>40</v>
      </c>
      <c r="O118" s="14">
        <v>17977.060000000001</v>
      </c>
      <c r="P118" s="15">
        <v>81.760000000000005</v>
      </c>
      <c r="Q118" s="15">
        <v>24.13</v>
      </c>
    </row>
    <row r="119" spans="1:17" x14ac:dyDescent="0.3">
      <c r="A119" s="16" t="s">
        <v>177</v>
      </c>
      <c r="B119" s="16" t="s">
        <v>27</v>
      </c>
      <c r="C119" s="16" t="s">
        <v>19</v>
      </c>
      <c r="D119" s="16" t="s">
        <v>178</v>
      </c>
      <c r="E119" s="16" t="s">
        <v>99</v>
      </c>
      <c r="F119" s="16" t="s">
        <v>58</v>
      </c>
      <c r="G119" s="16" t="s">
        <v>179</v>
      </c>
      <c r="H119" s="16">
        <v>20</v>
      </c>
      <c r="I119" s="17">
        <v>68169.47</v>
      </c>
      <c r="J119" s="17">
        <v>1363389.4</v>
      </c>
      <c r="K119" s="17">
        <v>1117979.31</v>
      </c>
      <c r="L119" s="17">
        <v>245410.09</v>
      </c>
      <c r="M119" s="16" t="s">
        <v>24</v>
      </c>
      <c r="N119" s="16" t="s">
        <v>40</v>
      </c>
      <c r="O119" s="17">
        <v>1226697.97</v>
      </c>
      <c r="P119" s="18">
        <v>111.14</v>
      </c>
      <c r="Q119" s="18">
        <v>15.99</v>
      </c>
    </row>
    <row r="120" spans="1:17" x14ac:dyDescent="0.3">
      <c r="A120" s="13" t="s">
        <v>177</v>
      </c>
      <c r="B120" s="13" t="s">
        <v>27</v>
      </c>
      <c r="C120" s="13" t="s">
        <v>43</v>
      </c>
      <c r="D120" s="13" t="s">
        <v>130</v>
      </c>
      <c r="E120" s="13" t="s">
        <v>66</v>
      </c>
      <c r="F120" s="13" t="s">
        <v>52</v>
      </c>
      <c r="G120" s="13" t="s">
        <v>53</v>
      </c>
      <c r="H120" s="13">
        <v>36</v>
      </c>
      <c r="I120" s="14">
        <v>176.76</v>
      </c>
      <c r="J120" s="14">
        <v>6363.36</v>
      </c>
      <c r="K120" s="14">
        <v>5599.76</v>
      </c>
      <c r="L120" s="14">
        <v>763.6</v>
      </c>
      <c r="M120" s="13" t="s">
        <v>39</v>
      </c>
      <c r="N120" s="13" t="s">
        <v>25</v>
      </c>
      <c r="O120" s="14">
        <v>7026.18</v>
      </c>
      <c r="P120" s="15">
        <v>90.57</v>
      </c>
      <c r="Q120" s="15">
        <v>5.89</v>
      </c>
    </row>
    <row r="121" spans="1:17" x14ac:dyDescent="0.3">
      <c r="A121" s="16" t="s">
        <v>189</v>
      </c>
      <c r="B121" s="16" t="s">
        <v>27</v>
      </c>
      <c r="C121" s="16" t="s">
        <v>49</v>
      </c>
      <c r="D121" s="16" t="s">
        <v>75</v>
      </c>
      <c r="E121" s="16" t="s">
        <v>96</v>
      </c>
      <c r="F121" s="16" t="s">
        <v>37</v>
      </c>
      <c r="G121" s="16" t="s">
        <v>84</v>
      </c>
      <c r="H121" s="16">
        <v>11</v>
      </c>
      <c r="I121" s="17">
        <v>19814.72</v>
      </c>
      <c r="J121" s="17">
        <v>217961.92</v>
      </c>
      <c r="K121" s="17">
        <v>152573.34</v>
      </c>
      <c r="L121" s="17">
        <v>65388.58</v>
      </c>
      <c r="M121" s="16" t="s">
        <v>24</v>
      </c>
      <c r="N121" s="16" t="s">
        <v>40</v>
      </c>
      <c r="O121" s="17">
        <v>210661.01</v>
      </c>
      <c r="P121" s="18">
        <v>103.47</v>
      </c>
      <c r="Q121" s="18">
        <v>-4.58</v>
      </c>
    </row>
  </sheetData>
  <autoFilter ref="A1:Q1" xr:uid="{00000000-0009-0000-0000-000002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zoomScaleNormal="100" workbookViewId="0">
      <selection activeCell="J13" sqref="J13"/>
    </sheetView>
  </sheetViews>
  <sheetFormatPr defaultColWidth="8.6640625" defaultRowHeight="14.4" x14ac:dyDescent="0.3"/>
  <cols>
    <col min="1" max="1" width="28" customWidth="1"/>
    <col min="2" max="2" width="20" customWidth="1"/>
  </cols>
  <sheetData>
    <row r="1" spans="1:4" ht="17.399999999999999" customHeight="1" x14ac:dyDescent="0.3">
      <c r="A1" s="33" t="s">
        <v>203</v>
      </c>
      <c r="B1" s="34"/>
      <c r="C1" s="34"/>
      <c r="D1" s="34"/>
    </row>
    <row r="3" spans="1:4" ht="15" customHeight="1" x14ac:dyDescent="0.3">
      <c r="A3" s="8" t="s">
        <v>204</v>
      </c>
      <c r="B3" s="9">
        <f>SUM('Sales Data'!J2:J121)</f>
        <v>40224781.039999999</v>
      </c>
    </row>
    <row r="4" spans="1:4" ht="15" customHeight="1" x14ac:dyDescent="0.3">
      <c r="A4" s="8" t="s">
        <v>205</v>
      </c>
      <c r="B4" s="9">
        <f>SUM('Sales Data'!K2:K121)</f>
        <v>30870016.329999991</v>
      </c>
    </row>
    <row r="5" spans="1:4" ht="15" customHeight="1" x14ac:dyDescent="0.3">
      <c r="A5" s="8" t="s">
        <v>206</v>
      </c>
      <c r="B5" s="9">
        <f>SUM('Sales Data'!L2:L121)</f>
        <v>9354764.7099999972</v>
      </c>
    </row>
    <row r="6" spans="1:4" ht="15" customHeight="1" x14ac:dyDescent="0.3">
      <c r="A6" s="8" t="s">
        <v>207</v>
      </c>
      <c r="B6" s="10">
        <f>SUM('Sales Data'!H2:H121)</f>
        <v>3019</v>
      </c>
    </row>
    <row r="7" spans="1:4" ht="15" customHeight="1" x14ac:dyDescent="0.3">
      <c r="A7" s="8" t="s">
        <v>208</v>
      </c>
      <c r="B7" s="11">
        <f>AVERAGE('Sales Data'!P2:P121)</f>
        <v>97.08741666666667</v>
      </c>
    </row>
    <row r="8" spans="1:4" ht="15" customHeight="1" x14ac:dyDescent="0.3">
      <c r="A8" s="8" t="s">
        <v>209</v>
      </c>
      <c r="B8" s="11">
        <f>AVERAGE('Sales Data'!Q2:Q121)</f>
        <v>9.0177499999999977</v>
      </c>
    </row>
    <row r="9" spans="1:4" ht="15" customHeight="1" x14ac:dyDescent="0.3">
      <c r="A9" s="8" t="s">
        <v>210</v>
      </c>
      <c r="B9" s="10">
        <f>COUNTA('Sales Data'!A2:A121)</f>
        <v>120</v>
      </c>
    </row>
    <row r="10" spans="1:4" ht="15" customHeight="1" x14ac:dyDescent="0.3">
      <c r="A10" s="8" t="s">
        <v>211</v>
      </c>
      <c r="B10" s="10">
        <f>COUNTIF('Sales Data'!M2:M121,"New")</f>
        <v>58</v>
      </c>
    </row>
    <row r="11" spans="1:4" ht="15" customHeight="1" x14ac:dyDescent="0.3">
      <c r="A11" s="8" t="s">
        <v>212</v>
      </c>
      <c r="B11" s="10">
        <f>COUNTIF('Sales Data'!M2:M121,"Existing")</f>
        <v>62</v>
      </c>
    </row>
    <row r="12" spans="1:4" ht="15" customHeight="1" x14ac:dyDescent="0.3">
      <c r="A12" s="8" t="s">
        <v>213</v>
      </c>
      <c r="B12" s="10">
        <f>COUNTIF('Sales Data'!N2:N121,"Online")</f>
        <v>59</v>
      </c>
    </row>
    <row r="13" spans="1:4" ht="15" customHeight="1" x14ac:dyDescent="0.3">
      <c r="A13" s="8" t="s">
        <v>214</v>
      </c>
      <c r="B13" s="10">
        <f>COUNTIF('Sales Data'!N2:N121,"Offline")</f>
        <v>61</v>
      </c>
    </row>
  </sheetData>
  <mergeCells count="1">
    <mergeCell ref="A1:D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F6377-7250-4DE0-9CCA-C42458478D93}">
  <dimension ref="A2:M40"/>
  <sheetViews>
    <sheetView topLeftCell="A16" workbookViewId="0">
      <selection activeCell="H29" sqref="H29:I29"/>
    </sheetView>
  </sheetViews>
  <sheetFormatPr defaultRowHeight="14.4" x14ac:dyDescent="0.3"/>
  <cols>
    <col min="1" max="1" width="12.5546875" bestFit="1" customWidth="1"/>
    <col min="2" max="2" width="24.109375" customWidth="1"/>
    <col min="3" max="3" width="22.6640625" customWidth="1"/>
    <col min="4" max="4" width="18.5546875" customWidth="1"/>
    <col min="5" max="7" width="8.109375" bestFit="1" customWidth="1"/>
    <col min="8" max="8" width="12.5546875" bestFit="1" customWidth="1"/>
    <col min="9" max="9" width="17.77734375" bestFit="1" customWidth="1"/>
    <col min="10" max="11" width="8.109375" bestFit="1" customWidth="1"/>
    <col min="12" max="12" width="15.6640625" customWidth="1"/>
    <col min="13" max="13" width="19.109375" customWidth="1"/>
    <col min="14" max="20" width="8.109375" bestFit="1" customWidth="1"/>
    <col min="21" max="54" width="9.109375" bestFit="1" customWidth="1"/>
    <col min="55" max="107" width="10.6640625" bestFit="1" customWidth="1"/>
    <col min="108" max="121" width="11.6640625" bestFit="1" customWidth="1"/>
    <col min="122" max="122" width="10.77734375" bestFit="1" customWidth="1"/>
  </cols>
  <sheetData>
    <row r="2" spans="1:13" x14ac:dyDescent="0.3">
      <c r="A2" s="35" t="s">
        <v>223</v>
      </c>
      <c r="B2" s="36"/>
    </row>
    <row r="3" spans="1:13" x14ac:dyDescent="0.3">
      <c r="A3" s="19" t="s">
        <v>215</v>
      </c>
      <c r="B3" t="s">
        <v>217</v>
      </c>
      <c r="H3" s="35" t="s">
        <v>220</v>
      </c>
      <c r="I3" s="36"/>
    </row>
    <row r="4" spans="1:13" x14ac:dyDescent="0.3">
      <c r="A4" s="20" t="s">
        <v>113</v>
      </c>
      <c r="B4" s="21">
        <v>2812795.52</v>
      </c>
      <c r="H4" s="19" t="s">
        <v>215</v>
      </c>
      <c r="I4" t="s">
        <v>218</v>
      </c>
      <c r="L4" s="35" t="s">
        <v>221</v>
      </c>
      <c r="M4" s="36"/>
    </row>
    <row r="5" spans="1:13" x14ac:dyDescent="0.3">
      <c r="A5" s="20" t="s">
        <v>95</v>
      </c>
      <c r="B5" s="21">
        <v>5431432.1900000004</v>
      </c>
      <c r="H5" s="20" t="s">
        <v>21</v>
      </c>
      <c r="I5" s="21">
        <v>5137057.3999999994</v>
      </c>
      <c r="L5" s="19" t="s">
        <v>215</v>
      </c>
      <c r="M5" t="s">
        <v>217</v>
      </c>
    </row>
    <row r="6" spans="1:13" x14ac:dyDescent="0.3">
      <c r="A6" s="20" t="s">
        <v>106</v>
      </c>
      <c r="B6" s="21">
        <v>2347726.4299999997</v>
      </c>
      <c r="H6" s="20" t="s">
        <v>71</v>
      </c>
      <c r="I6" s="21">
        <v>2472198.5300000003</v>
      </c>
      <c r="L6" s="20" t="s">
        <v>22</v>
      </c>
      <c r="M6" s="21">
        <v>1932923.6999999997</v>
      </c>
    </row>
    <row r="7" spans="1:13" x14ac:dyDescent="0.3">
      <c r="A7" s="20" t="s">
        <v>18</v>
      </c>
      <c r="B7" s="21">
        <v>2305176.6</v>
      </c>
      <c r="H7" s="20" t="s">
        <v>51</v>
      </c>
      <c r="I7" s="21">
        <v>2531827.5999999996</v>
      </c>
      <c r="L7" s="20" t="s">
        <v>30</v>
      </c>
      <c r="M7" s="21">
        <v>15932923.360000001</v>
      </c>
    </row>
    <row r="8" spans="1:13" x14ac:dyDescent="0.3">
      <c r="A8" s="20" t="s">
        <v>42</v>
      </c>
      <c r="B8" s="21">
        <v>3693054.42</v>
      </c>
      <c r="H8" s="20" t="s">
        <v>125</v>
      </c>
      <c r="I8" s="21">
        <v>1925280.2400000002</v>
      </c>
      <c r="L8" s="20" t="s">
        <v>58</v>
      </c>
      <c r="M8" s="21">
        <v>11546194.600000001</v>
      </c>
    </row>
    <row r="9" spans="1:13" x14ac:dyDescent="0.3">
      <c r="A9" s="20" t="s">
        <v>33</v>
      </c>
      <c r="B9" s="21">
        <v>4163420.0500000003</v>
      </c>
      <c r="H9" s="20" t="s">
        <v>29</v>
      </c>
      <c r="I9" s="21">
        <v>4312725.22</v>
      </c>
      <c r="L9" s="20" t="s">
        <v>37</v>
      </c>
      <c r="M9" s="21">
        <v>10680669.939999999</v>
      </c>
    </row>
    <row r="10" spans="1:13" x14ac:dyDescent="0.3">
      <c r="A10" s="20" t="s">
        <v>74</v>
      </c>
      <c r="B10" s="21">
        <v>4276114.37</v>
      </c>
      <c r="H10" s="20" t="s">
        <v>66</v>
      </c>
      <c r="I10" s="21">
        <v>2511864.3600000003</v>
      </c>
      <c r="L10" s="20" t="s">
        <v>52</v>
      </c>
      <c r="M10" s="21">
        <v>132069.43999999997</v>
      </c>
    </row>
    <row r="11" spans="1:13" x14ac:dyDescent="0.3">
      <c r="A11" s="20" t="s">
        <v>69</v>
      </c>
      <c r="B11" s="21">
        <v>3131757.7699999996</v>
      </c>
      <c r="H11" s="20" t="s">
        <v>134</v>
      </c>
      <c r="I11" s="21">
        <v>4289704.1400000006</v>
      </c>
      <c r="L11" s="20" t="s">
        <v>216</v>
      </c>
      <c r="M11" s="21">
        <v>40224781.039999999</v>
      </c>
    </row>
    <row r="12" spans="1:13" x14ac:dyDescent="0.3">
      <c r="A12" s="20" t="s">
        <v>64</v>
      </c>
      <c r="B12" s="21">
        <v>3431160.1700000004</v>
      </c>
      <c r="H12" s="20" t="s">
        <v>96</v>
      </c>
      <c r="I12" s="21">
        <v>3987443.41</v>
      </c>
    </row>
    <row r="13" spans="1:13" x14ac:dyDescent="0.3">
      <c r="A13" s="20" t="s">
        <v>80</v>
      </c>
      <c r="B13" s="21">
        <v>3885088.61</v>
      </c>
      <c r="H13" s="20" t="s">
        <v>99</v>
      </c>
      <c r="I13" s="21">
        <v>3006351.01</v>
      </c>
    </row>
    <row r="14" spans="1:13" x14ac:dyDescent="0.3">
      <c r="A14" s="20" t="s">
        <v>48</v>
      </c>
      <c r="B14" s="21">
        <v>1847198.5700000003</v>
      </c>
      <c r="H14" s="20" t="s">
        <v>45</v>
      </c>
      <c r="I14" s="21">
        <v>3617667.89</v>
      </c>
    </row>
    <row r="15" spans="1:13" x14ac:dyDescent="0.3">
      <c r="A15" s="20" t="s">
        <v>27</v>
      </c>
      <c r="B15" s="21">
        <v>2899856.3399999994</v>
      </c>
      <c r="H15" s="20" t="s">
        <v>54</v>
      </c>
      <c r="I15" s="21">
        <v>1128388.9100000001</v>
      </c>
    </row>
    <row r="16" spans="1:13" x14ac:dyDescent="0.3">
      <c r="A16" s="20" t="s">
        <v>216</v>
      </c>
      <c r="B16" s="21">
        <v>40224781.039999999</v>
      </c>
      <c r="H16" s="20" t="s">
        <v>36</v>
      </c>
      <c r="I16" s="21">
        <v>6093636.1399999987</v>
      </c>
    </row>
    <row r="17" spans="2:9" x14ac:dyDescent="0.3">
      <c r="H17" s="20" t="s">
        <v>216</v>
      </c>
      <c r="I17" s="21">
        <v>41014144.849999994</v>
      </c>
    </row>
    <row r="25" spans="2:9" x14ac:dyDescent="0.3">
      <c r="B25" s="35" t="s">
        <v>222</v>
      </c>
      <c r="C25" s="36"/>
    </row>
    <row r="26" spans="2:9" x14ac:dyDescent="0.3">
      <c r="B26" s="19" t="s">
        <v>215</v>
      </c>
      <c r="C26" t="s">
        <v>217</v>
      </c>
    </row>
    <row r="27" spans="2:9" x14ac:dyDescent="0.3">
      <c r="B27" s="20" t="s">
        <v>40</v>
      </c>
      <c r="C27" s="21">
        <v>20943397.390000001</v>
      </c>
    </row>
    <row r="28" spans="2:9" x14ac:dyDescent="0.3">
      <c r="B28" s="20" t="s">
        <v>25</v>
      </c>
      <c r="C28" s="21">
        <v>19281383.650000006</v>
      </c>
    </row>
    <row r="29" spans="2:9" x14ac:dyDescent="0.3">
      <c r="B29" s="20" t="s">
        <v>216</v>
      </c>
      <c r="C29" s="21">
        <v>40224781.040000007</v>
      </c>
      <c r="H29" s="35" t="s">
        <v>219</v>
      </c>
      <c r="I29" s="36"/>
    </row>
    <row r="30" spans="2:9" x14ac:dyDescent="0.3">
      <c r="H30" s="19" t="s">
        <v>215</v>
      </c>
      <c r="I30" t="s">
        <v>217</v>
      </c>
    </row>
    <row r="31" spans="2:9" x14ac:dyDescent="0.3">
      <c r="H31" s="20" t="s">
        <v>19</v>
      </c>
      <c r="I31" s="21">
        <v>10376896.51</v>
      </c>
    </row>
    <row r="32" spans="2:9" x14ac:dyDescent="0.3">
      <c r="H32" s="20" t="s">
        <v>43</v>
      </c>
      <c r="I32" s="21">
        <v>11257850.890000002</v>
      </c>
    </row>
    <row r="33" spans="3:9" x14ac:dyDescent="0.3">
      <c r="H33" s="20" t="s">
        <v>49</v>
      </c>
      <c r="I33" s="21">
        <v>9041366.9399999995</v>
      </c>
    </row>
    <row r="34" spans="3:9" x14ac:dyDescent="0.3">
      <c r="H34" s="20" t="s">
        <v>34</v>
      </c>
      <c r="I34" s="21">
        <v>9548666.7000000011</v>
      </c>
    </row>
    <row r="35" spans="3:9" x14ac:dyDescent="0.3">
      <c r="H35" s="20" t="s">
        <v>216</v>
      </c>
      <c r="I35" s="21">
        <v>40224781.040000007</v>
      </c>
    </row>
    <row r="40" spans="3:9" x14ac:dyDescent="0.3">
      <c r="C40" s="35"/>
      <c r="D40" s="36"/>
    </row>
  </sheetData>
  <mergeCells count="6">
    <mergeCell ref="C40:D40"/>
    <mergeCell ref="A2:B2"/>
    <mergeCell ref="H3:I3"/>
    <mergeCell ref="L4:M4"/>
    <mergeCell ref="B25:C25"/>
    <mergeCell ref="H29:I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07DAB-754A-4A06-A523-3FE1A7455B6B}">
  <dimension ref="F1:Q38"/>
  <sheetViews>
    <sheetView showGridLines="0" tabSelected="1" topLeftCell="D1" zoomScale="89" zoomScaleNormal="100" workbookViewId="0">
      <selection activeCell="L30" sqref="L30"/>
    </sheetView>
  </sheetViews>
  <sheetFormatPr defaultRowHeight="14.4" x14ac:dyDescent="0.3"/>
  <cols>
    <col min="6" max="6" width="14.5546875" customWidth="1"/>
    <col min="7" max="7" width="17.44140625" customWidth="1"/>
  </cols>
  <sheetData>
    <row r="1" spans="6:13" x14ac:dyDescent="0.3">
      <c r="F1" s="22"/>
      <c r="G1" s="28"/>
      <c r="H1" s="32"/>
      <c r="I1" s="32"/>
      <c r="J1" s="28"/>
      <c r="K1" s="29"/>
      <c r="L1" s="29"/>
      <c r="M1" s="29"/>
    </row>
    <row r="2" spans="6:13" x14ac:dyDescent="0.3">
      <c r="F2" s="22"/>
      <c r="G2" s="28"/>
      <c r="H2" s="30"/>
      <c r="I2" s="30"/>
      <c r="J2" s="28"/>
      <c r="K2" s="29"/>
      <c r="L2" s="29"/>
      <c r="M2" s="29"/>
    </row>
    <row r="3" spans="6:13" ht="15" thickBot="1" x14ac:dyDescent="0.35">
      <c r="F3" s="22"/>
      <c r="G3" s="31"/>
      <c r="H3" s="31"/>
      <c r="I3" s="31"/>
      <c r="J3" s="28"/>
      <c r="K3" s="29"/>
      <c r="L3" s="29"/>
      <c r="M3" s="29"/>
    </row>
    <row r="4" spans="6:13" ht="15" thickTop="1" x14ac:dyDescent="0.3">
      <c r="F4" s="22"/>
    </row>
    <row r="5" spans="6:13" ht="15" thickBot="1" x14ac:dyDescent="0.35">
      <c r="F5" s="27"/>
    </row>
    <row r="6" spans="6:13" ht="15" thickTop="1" x14ac:dyDescent="0.3"/>
    <row r="38" spans="16:17" x14ac:dyDescent="0.3">
      <c r="P38" s="25"/>
      <c r="Q38" s="26"/>
    </row>
  </sheetData>
  <mergeCells count="6">
    <mergeCell ref="J3:M3"/>
    <mergeCell ref="G2:I2"/>
    <mergeCell ref="G3:I3"/>
    <mergeCell ref="G1:I1"/>
    <mergeCell ref="J1:M1"/>
    <mergeCell ref="J2:M2"/>
  </mergeCells>
  <phoneticPr fontId="11"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vt:lpstr>
      <vt:lpstr>Cleaned Data</vt:lpstr>
      <vt:lpstr>Sales  Calculation</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tanvitha juvvadi</cp:lastModifiedBy>
  <cp:revision>0</cp:revision>
  <dcterms:created xsi:type="dcterms:W3CDTF">2026-04-09T10:58:19Z</dcterms:created>
  <dcterms:modified xsi:type="dcterms:W3CDTF">2026-04-10T12:34:27Z</dcterms:modified>
  <dc:language>en-US</dc:language>
</cp:coreProperties>
</file>